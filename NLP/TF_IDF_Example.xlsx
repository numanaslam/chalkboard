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02b8bb58da40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b162571b8c91457b"/>
    <x:sheet xmlns:r="http://schemas.openxmlformats.org/officeDocument/2006/relationships" name="Corpus" sheetId="2" r:id="Rdf2083bd238f4fde"/>
    <x:sheet xmlns:r="http://schemas.openxmlformats.org/officeDocument/2006/relationships" name="Word Counts" sheetId="3" r:id="R3c8f621ff8dc4184"/>
    <x:sheet xmlns:r="http://schemas.openxmlformats.org/officeDocument/2006/relationships" name="TF" sheetId="4" r:id="Rc6ddcfbadb3542ea"/>
    <x:sheet xmlns:r="http://schemas.openxmlformats.org/officeDocument/2006/relationships" name="IDF" sheetId="5" r:id="R4522ef1834b2423d"/>
    <x:sheet xmlns:r="http://schemas.openxmlformats.org/officeDocument/2006/relationships" name="TF-IDF" sheetId="6" r:id="Rf665763387124c1f"/>
    <x:sheet xmlns:r="http://schemas.openxmlformats.org/officeDocument/2006/relationships" name="Step by Step" sheetId="7" r:id="Re8e9d80a597a480d"/>
    <x:sheet xmlns:r="http://schemas.openxmlformats.org/officeDocument/2006/relationships" name="Practice" sheetId="8" r:id="Rdbc07ff4e86d47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"/>
  </x:numFmts>
  <x:fonts count="10">
    <x:font>
      <x:sz val="11"/>
      <x:name val="Carlito"/>
    </x:font>
    <x:font>
      <x:b/>
      <x:sz val="18"/>
      <x:color rgb="FFFFFFFF"/>
      <x:name val="Carlito"/>
    </x:font>
    <x:font>
      <x:sz val="10"/>
      <x:color rgb="FF17324F"/>
      <x:name val="Carlito"/>
    </x:font>
    <x:font>
      <x:b/>
      <x:sz val="12"/>
      <x:color rgb="FF17324F"/>
      <x:name val="Carlito"/>
    </x:font>
    <x:font>
      <x:b/>
      <x:sz val="11"/>
      <x:color rgb="FF087E8B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1"/>
      <x:color rgb="FF213447"/>
      <x:name val="Carlito"/>
    </x:font>
    <x:font>
      <x:sz val="11"/>
      <x:color rgb="FF17324F"/>
      <x:name val="Carlito"/>
    </x:font>
    <x:font>
      <x:b/>
      <x:sz val="11"/>
      <x:color rgb="FF17324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F"/>
      </x:patternFill>
    </x:fill>
    <x:fill>
      <x:patternFill patternType="solid">
        <x:fgColor rgb="FFE9F5F6"/>
      </x:patternFill>
    </x:fill>
    <x:fill>
      <x:patternFill patternType="solid">
        <x:fgColor rgb="FFEAF1F8"/>
      </x:patternFill>
    </x:fill>
    <x:fill>
      <x:patternFill patternType="solid">
        <x:fgColor rgb="FF087E8B"/>
      </x:patternFill>
    </x:fill>
    <x:fill>
      <x:patternFill patternType="solid">
        <x:fgColor rgb="FFFFF2D6"/>
      </x:patternFill>
    </x:fill>
    <x:fill>
      <x:patternFill patternType="solid">
        <x:fgColor rgb="FFFFF8DF"/>
      </x:patternFill>
    </x:fill>
    <x:fill>
      <x:patternFill patternType="solid">
        <x:fgColor rgb="FFE3F5E9"/>
      </x:patternFill>
    </x:fill>
  </x:fills>
  <x:borders count="2">
    <x:border/>
    <x:border/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horizont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9" fillId="8" borderId="1" xfId="0" applyNumberFormat="1" applyFont="1" applyFill="1" applyBorder="1"/>
    <x:xf numFmtId="0" fontId="9" fillId="8" borderId="1" xfId="0" applyNumberFormat="1" applyFont="1" applyFill="1" applyBorder="1" applyAlignment="1">
      <x:alignment horizontal="center"/>
    </x:xf>
    <x:xf numFmtId="0" fontId="9" fillId="3" borderId="0" xfId="0" applyNumberFormat="1" applyFont="1" applyFill="1" applyBorder="1"/>
    <x:xf numFmtId="0" fontId="9" fillId="3" borderId="1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9" fillId="3" borderId="0" xfId="0" applyNumberFormat="1" applyFont="1" applyFill="1" applyBorder="1"/>
    <x:xf numFmtId="200" fontId="0" fillId="0" borderId="1" xfId="0" applyNumberFormat="1" applyFont="1" applyFill="1" applyBorder="1"/>
    <x:xf numFmtId="200" fontId="9" fillId="3" borderId="1" xfId="0" applyNumberFormat="1" applyFont="1" applyFill="1" applyBorder="1"/>
    <x:xf numFmtId="200" fontId="9" fillId="8" borderId="0" xfId="0" applyNumberFormat="1" applyFont="1" applyFill="1" applyBorder="1"/>
    <x:xf numFmtId="200" fontId="9" fillId="8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9" fillId="8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e33d732fe0495f" /><Relationship Type="http://schemas.openxmlformats.org/officeDocument/2006/relationships/theme" Target="/xl/theme/theme1.xml" Id="Rac99b88d9d7b4f52" /><Relationship Type="http://schemas.openxmlformats.org/officeDocument/2006/relationships/sharedStrings" Target="/xl/sharedStrings.xml" Id="Rc2bd6fe919fd489a" /><Relationship Type="http://schemas.openxmlformats.org/officeDocument/2006/relationships/worksheet" Target="/xl/worksheets/sheet1.xml" Id="Rb162571b8c91457b" /><Relationship Type="http://schemas.openxmlformats.org/officeDocument/2006/relationships/worksheet" Target="/xl/worksheets/sheet2.xml" Id="Rdf2083bd238f4fde" /><Relationship Type="http://schemas.openxmlformats.org/officeDocument/2006/relationships/worksheet" Target="/xl/worksheets/sheet3.xml" Id="R3c8f621ff8dc4184" /><Relationship Type="http://schemas.openxmlformats.org/officeDocument/2006/relationships/worksheet" Target="/xl/worksheets/sheet4.xml" Id="Rc6ddcfbadb3542ea" /><Relationship Type="http://schemas.openxmlformats.org/officeDocument/2006/relationships/worksheet" Target="/xl/worksheets/sheet5.xml" Id="R4522ef1834b2423d" /><Relationship Type="http://schemas.openxmlformats.org/officeDocument/2006/relationships/worksheet" Target="/xl/worksheets/sheet6.xml" Id="Rf665763387124c1f" /><Relationship Type="http://schemas.openxmlformats.org/officeDocument/2006/relationships/worksheet" Target="/xl/worksheets/sheet7.xml" Id="Re8e9d80a597a480d" /><Relationship Type="http://schemas.openxmlformats.org/officeDocument/2006/relationships/worksheet" Target="/xl/worksheets/sheet8.xml" Id="Rdbc07ff4e86d47e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3bf67d1f28340d7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IDF</c:v>
          </c:tx>
          <c:cat>
            <c:strRef>
              <c:f>'IDF'!$A$6:$A$12</c:f>
              <c:strCache>
                <c:ptCount val="0"/>
              </c:strCache>
            </c:strRef>
          </c:cat>
          <c:val>
            <c:numRef>
              <c:f>'IDF'!$D$6:$D$12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13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3bf67d1f28340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615650f17eb3430b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0" hidden="0" customWidth="1"/>
    <x:col min="3" max="3" width="26" hidden="0" customWidth="1"/>
    <x:col min="4" max="4" width="22" hidden="0" customWidth="1"/>
    <x:col min="5" max="5" width="21" hidden="0" customWidth="1"/>
    <x:col min="6" max="6" width="20" hidden="0" customWidth="1"/>
    <x:col min="7" max="7" width="20" hidden="0" customWidth="1"/>
    <x:col min="8" max="8" width="21" hidden="0" customWidth="1"/>
  </x:cols>
  <x:sheetData>
    <x:row r="1" ht="25" customHeight="1">
      <x:c r="A1" s="4" t="str">
        <x:v>TF-IDF | Worked Numerical Example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3" ht="30" customHeight="1">
      <x:c r="A3" s="11" t="str">
        <x:v>A formula-driven classroom workbook: 4 documents, repeated words, a common word, and rare words.</x:v>
      </x:c>
      <x:c r="B3" s="11"/>
      <x:c r="C3" s="11"/>
      <x:c r="D3" s="11"/>
      <x:c r="E3" s="11"/>
      <x:c r="F3" s="11"/>
      <x:c r="G3" s="11"/>
      <x:c r="H3" s="11"/>
    </x:row>
    <x:row r="5" ht="27" customHeight="1">
      <x:c r="A5" s="18" t="str">
        <x:v>THE 4 RULES (unsmoothed TF-IDF, base-10 logarithm)</x:v>
      </x:c>
      <x:c r="B5" s="18"/>
      <x:c r="C5" s="18"/>
      <x:c r="D5" s="18"/>
      <x:c r="E5" s="18"/>
      <x:c r="F5" s="18"/>
      <x:c r="G5" s="18"/>
      <x:c r="H5" s="18"/>
    </x:row>
    <x:row r="7" ht="38" customHeight="1">
      <x:c r="A7" s="23" t="str">
        <x:v>1</x:v>
      </x:c>
      <x:c r="B7" s="26" t="str">
        <x:v>TF(t,d)</x:v>
      </x:c>
      <x:c r="C7" s="28" t="str">
        <x:v>Frequency of term t in document d ÷ total number of words in d.</x:v>
      </x:c>
      <x:c r="D7" s="28"/>
      <x:c r="E7" s="28"/>
      <x:c r="F7" s="28"/>
      <x:c r="G7" s="28"/>
      <x:c r="H7" s="28"/>
    </x:row>
    <x:row r="8" ht="38" customHeight="1">
      <x:c r="A8" s="23" t="str">
        <x:v>2</x:v>
      </x:c>
      <x:c r="B8" s="26" t="str">
        <x:v>DF(t)</x:v>
      </x:c>
      <x:c r="C8" s="28" t="str">
        <x:v>Number of different documents that contain t at least once.</x:v>
      </x:c>
      <x:c r="D8" s="28"/>
      <x:c r="E8" s="28"/>
      <x:c r="F8" s="28"/>
      <x:c r="G8" s="28"/>
      <x:c r="H8" s="28"/>
    </x:row>
    <x:row r="9" ht="38" customHeight="1">
      <x:c r="A9" s="23" t="str">
        <x:v>3</x:v>
      </x:c>
      <x:c r="B9" s="26" t="str">
        <x:v>IDF(t)</x:v>
      </x:c>
      <x:c r="C9" s="28" t="str">
        <x:v>LOG10(N ÷ DF(t)), where N is the total number of documents.</x:v>
      </x:c>
      <x:c r="D9" s="28"/>
      <x:c r="E9" s="28"/>
      <x:c r="F9" s="28"/>
      <x:c r="G9" s="28"/>
      <x:c r="H9" s="28"/>
    </x:row>
    <x:row r="10" ht="38" customHeight="1">
      <x:c r="A10" s="23" t="str">
        <x:v>4</x:v>
      </x:c>
      <x:c r="B10" s="26" t="str">
        <x:v>TF-IDF(t,d)</x:v>
      </x:c>
      <x:c r="C10" s="28" t="str">
        <x:v>TF(t,d) × IDF(t). A zero TF or zero IDF makes the product zero.</x:v>
      </x:c>
      <x:c r="D10" s="28"/>
      <x:c r="E10" s="28"/>
      <x:c r="F10" s="28"/>
      <x:c r="G10" s="28"/>
      <x:c r="H10" s="28"/>
    </x:row>
    <x:row r="12" ht="27" customHeight="1">
      <x:c r="A12" s="18" t="str">
        <x:v>OUR NEW FOUR-DOCUMENT EXAMPLE</x:v>
      </x:c>
      <x:c r="B12" s="18"/>
      <x:c r="C12" s="18"/>
      <x:c r="D12" s="18"/>
      <x:c r="E12" s="18"/>
      <x:c r="F12" s="18"/>
      <x:c r="G12" s="18"/>
      <x:c r="H12" s="18"/>
    </x:row>
    <x:row r="14" ht="28" customHeight="1">
      <x:c r="A14" s="34" t="str">
        <x:v>Document</x:v>
      </x:c>
      <x:c r="B14" s="34" t="str">
        <x:v>Cleaned sentence</x:v>
      </x:c>
      <x:c r="D14" s="34" t="str">
        <x:v>Term</x:v>
      </x:c>
      <x:c r="E14" s="34" t="str">
        <x:v>What happens?</x:v>
      </x:c>
    </x:row>
    <x:row r="15" ht="36" customHeight="1">
      <x:c r="A15" t="str">
        <x:v>D1</x:v>
      </x:c>
      <x:c r="B15" t="str">
        <x:v>cat cat eats fish</x:v>
      </x:c>
      <x:c r="D15" t="str">
        <x:v>cat</x:v>
      </x:c>
      <x:c r="E15" s="28" t="str">
        <x:v>Repeated in D1; appears in only two documents.</x:v>
      </x:c>
      <x:c r="F15" s="28"/>
      <x:c r="G15" s="28"/>
      <x:c r="H15" s="28"/>
    </x:row>
    <x:row r="16" ht="36" customHeight="1">
      <x:c r="A16" t="str">
        <x:v>D2</x:v>
      </x:c>
      <x:c r="B16" t="str">
        <x:v>dog eats fish</x:v>
      </x:c>
      <x:c r="D16" t="str">
        <x:v>eats</x:v>
      </x:c>
      <x:c r="E16" s="28" t="str">
        <x:v>Appears in every document, so its IDF is zero.</x:v>
      </x:c>
      <x:c r="F16" s="28"/>
      <x:c r="G16" s="28"/>
      <x:c r="H16" s="28"/>
    </x:row>
    <x:row r="17" ht="36" customHeight="1">
      <x:c r="A17" t="str">
        <x:v>D3</x:v>
      </x:c>
      <x:c r="B17" t="str">
        <x:v>cat dog eats plays</x:v>
      </x:c>
      <x:c r="D17" t="str">
        <x:v>bird</x:v>
      </x:c>
      <x:c r="E17" s="28" t="str">
        <x:v>Appears in just D4, so its IDF is high.</x:v>
      </x:c>
      <x:c r="F17" s="28"/>
      <x:c r="G17" s="28"/>
      <x:c r="H17" s="28"/>
    </x:row>
    <x:row r="18" ht="36" customHeight="1">
      <x:c r="A18" t="str">
        <x:v>D4</x:v>
      </x:c>
      <x:c r="B18" t="str">
        <x:v>bird eats seeds</x:v>
      </x:c>
      <x:c r="D18" t="str">
        <x:v>fish</x:v>
      </x:c>
      <x:c r="E18" s="28" t="str">
        <x:v>Appears in D1 and D2, so its IDF is moderate.</x:v>
      </x:c>
      <x:c r="F18" s="28"/>
      <x:c r="G18" s="28"/>
      <x:c r="H18" s="28"/>
    </x:row>
    <x:row r="20" ht="27" customHeight="1">
      <x:c r="A20" s="18" t="str">
        <x:v>SHEET ROADMAP</x:v>
      </x:c>
      <x:c r="B20" s="18"/>
      <x:c r="C20" s="18"/>
      <x:c r="D20" s="18"/>
      <x:c r="E20" s="18"/>
      <x:c r="F20" s="18"/>
      <x:c r="G20" s="18"/>
      <x:c r="H20" s="18"/>
    </x:row>
    <x:row r="22" ht="29" customHeight="1">
      <x:c r="A22" t="str">
        <x:v>1</x:v>
      </x:c>
      <x:c r="B22" s="26" t="str">
        <x:v>Corpus</x:v>
      </x:c>
      <x:c r="C22" s="28" t="str">
        <x:v>Editable word tokens and document lengths</x:v>
      </x:c>
      <x:c r="D22" s="28"/>
      <x:c r="E22" s="28"/>
      <x:c r="F22" s="28"/>
      <x:c r="G22" s="28"/>
      <x:c r="H22" s="28"/>
    </x:row>
    <x:row r="23" ht="29" customHeight="1">
      <x:c r="A23" t="str">
        <x:v>2</x:v>
      </x:c>
      <x:c r="B23" s="26" t="str">
        <x:v>Word Counts</x:v>
      </x:c>
      <x:c r="C23" s="28" t="str">
        <x:v>Count each vocabulary word in every document</x:v>
      </x:c>
      <x:c r="D23" s="28"/>
      <x:c r="E23" s="28"/>
      <x:c r="F23" s="28"/>
      <x:c r="G23" s="28"/>
      <x:c r="H23" s="28"/>
    </x:row>
    <x:row r="24" ht="29" customHeight="1">
      <x:c r="A24" t="str">
        <x:v>3</x:v>
      </x:c>
      <x:c r="B24" s="26" t="str">
        <x:v>TF</x:v>
      </x:c>
      <x:c r="C24" s="28" t="str">
        <x:v>Normalize counts by document length</x:v>
      </x:c>
      <x:c r="D24" s="28"/>
      <x:c r="E24" s="28"/>
      <x:c r="F24" s="28"/>
      <x:c r="G24" s="28"/>
      <x:c r="H24" s="28"/>
    </x:row>
    <x:row r="25" ht="29" customHeight="1">
      <x:c r="A25" t="str">
        <x:v>4</x:v>
      </x:c>
      <x:c r="B25" s="26" t="str">
        <x:v>IDF</x:v>
      </x:c>
      <x:c r="C25" s="28" t="str">
        <x:v>Count document frequency and apply LOG10</x:v>
      </x:c>
      <x:c r="D25" s="28"/>
      <x:c r="E25" s="28"/>
      <x:c r="F25" s="28"/>
      <x:c r="G25" s="28"/>
      <x:c r="H25" s="28"/>
    </x:row>
    <x:row r="26" ht="29" customHeight="1">
      <x:c r="A26" t="str">
        <x:v>5</x:v>
      </x:c>
      <x:c r="B26" s="26" t="str">
        <x:v>TF-IDF</x:v>
      </x:c>
      <x:c r="C26" s="28" t="str">
        <x:v>Multiply the matrices; color heatmap</x:v>
      </x:c>
      <x:c r="D26" s="28"/>
      <x:c r="E26" s="28"/>
      <x:c r="F26" s="28"/>
      <x:c r="G26" s="28"/>
      <x:c r="H26" s="28"/>
    </x:row>
    <x:row r="27" ht="29" customHeight="1">
      <x:c r="A27" t="str">
        <x:v>6</x:v>
      </x:c>
      <x:c r="B27" s="26" t="str">
        <x:v>Step by Step</x:v>
      </x:c>
      <x:c r="C27" s="28" t="str">
        <x:v>Live worked calculations for cat, eats, and bird</x:v>
      </x:c>
      <x:c r="D27" s="28"/>
      <x:c r="E27" s="28"/>
      <x:c r="F27" s="28"/>
      <x:c r="G27" s="28"/>
      <x:c r="H27" s="28"/>
    </x:row>
    <x:row r="28" ht="29" customHeight="1">
      <x:c r="A28" t="str">
        <x:v>7</x:v>
      </x:c>
      <x:c r="B28" s="26" t="str">
        <x:v>Practice</x:v>
      </x:c>
      <x:c r="C28" s="28" t="str">
        <x:v>A separate three-document self-check exercise</x:v>
      </x:c>
      <x:c r="D28" s="28"/>
      <x:c r="E28" s="28"/>
      <x:c r="F28" s="28"/>
      <x:c r="G28" s="28"/>
      <x:c r="H28" s="28"/>
    </x:row>
    <x:row r="29" ht="29" customHeight="1">
      <x:c r="A29" t="str">
        <x:v>!</x:v>
      </x:c>
      <x:c r="B29" s="26" t="str">
        <x:v>Important</x:v>
      </x:c>
      <x:c r="C29" s="28" t="str">
        <x:v>Edit the yellow token cells in Corpus (using existing vocabulary).</x:v>
      </x:c>
      <x:c r="D29" s="28"/>
      <x:c r="E29" s="28"/>
      <x:c r="F29" s="28"/>
      <x:c r="G29" s="28"/>
      <x:c r="H29" s="28"/>
    </x:row>
    <x:row r="31" ht="22" customHeight="1">
      <x:c r="A31" s="42" t="str">
        <x:v>All calculations use raw counts, lowercase words, no stop-word removal, and unsmoothed IDF. Any log base can be used consistently; log10 is used here. The example is intentionally tiny for teaching.</x:v>
      </x:c>
      <x:c r="B31" s="42"/>
      <x:c r="C31" s="42"/>
      <x:c r="D31" s="42"/>
      <x:c r="E31" s="42"/>
      <x:c r="F31" s="42"/>
      <x:c r="G31" s="42"/>
      <x:c r="H31" s="42"/>
    </x:row>
    <x:row r="32" ht="22" customHeight="1">
      <x:c r="A32" s="42"/>
      <x:c r="B32" s="42"/>
      <x:c r="C32" s="42"/>
      <x:c r="D32" s="42"/>
      <x:c r="E32" s="42"/>
      <x:c r="F32" s="42"/>
      <x:c r="G32" s="42"/>
      <x:c r="H32" s="42"/>
    </x:row>
  </x:sheetData>
  <x:mergeCells>
    <x:mergeCell ref="A1:H2"/>
    <x:mergeCell ref="A3:H3"/>
    <x:mergeCell ref="A5:H5"/>
    <x:mergeCell ref="A12:H12"/>
    <x:mergeCell ref="A20:H20"/>
    <x:mergeCell ref="A31:H32"/>
    <x:mergeCell ref="C7:H7"/>
    <x:mergeCell ref="C8:H8"/>
    <x:mergeCell ref="C9:H9"/>
    <x:mergeCell ref="C10:H10"/>
    <x:mergeCell ref="E14:H14"/>
    <x:mergeCell ref="E15:H15"/>
    <x:mergeCell ref="E16:H16"/>
    <x:mergeCell ref="E17:H17"/>
    <x:mergeCell ref="E18:H18"/>
    <x:mergeCell ref="C22:H22"/>
    <x:mergeCell ref="C23:H23"/>
    <x:mergeCell ref="C24:H24"/>
    <x:mergeCell ref="C25:H25"/>
    <x:mergeCell ref="C26:H26"/>
    <x:mergeCell ref="C27:H27"/>
    <x:mergeCell ref="C28:H28"/>
    <x:mergeCell ref="C29:H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7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</x:cols>
  <x:sheetData>
    <x:row r="1" ht="25" customHeight="1">
      <x:c r="A1" s="4" t="str">
        <x:v>01 | Corpus and Tokens</x:v>
      </x:c>
      <x:c r="B1" s="4"/>
      <x:c r="C1" s="4"/>
      <x:c r="D1" s="4"/>
      <x:c r="E1" s="4"/>
      <x:c r="F1" s="4"/>
      <x:c r="G1" s="4"/>
      <x:c r="H1" s="4"/>
      <x:c r="I1" s="4"/>
    </x:row>
    <x:row r="2" ht="25" customHeight="1">
      <x:c r="A2" s="4"/>
      <x:c r="B2" s="4"/>
      <x:c r="C2" s="4"/>
      <x:c r="D2" s="4"/>
      <x:c r="E2" s="4"/>
      <x:c r="F2" s="4"/>
      <x:c r="G2" s="4"/>
      <x:c r="H2" s="4"/>
      <x:c r="I2" s="4"/>
    </x:row>
    <x:row r="3" ht="30" customHeight="1">
      <x:c r="A3" s="11" t="str">
        <x:v>Yellow cells are editable. Each token is ONE word; formulas use the token grid, not the sentence preview.</x:v>
      </x:c>
      <x:c r="B3" s="11"/>
      <x:c r="C3" s="11"/>
      <x:c r="D3" s="11"/>
      <x:c r="E3" s="11"/>
      <x:c r="F3" s="11"/>
      <x:c r="G3" s="11"/>
      <x:c r="H3" s="11"/>
      <x:c r="I3" s="11"/>
    </x:row>
    <x:row r="5" ht="28" customHeight="1">
      <x:c r="A5" s="34" t="str">
        <x:v>Document</x:v>
      </x:c>
      <x:c r="B5" s="34" t="str">
        <x:v>Sentence preview</x:v>
      </x:c>
      <x:c r="C5" s="34" t="str">
        <x:v>Token 1</x:v>
      </x:c>
      <x:c r="D5" s="34" t="str">
        <x:v>Token 2</x:v>
      </x:c>
      <x:c r="E5" s="34" t="str">
        <x:v>Token 3</x:v>
      </x:c>
      <x:c r="F5" s="34" t="str">
        <x:v>Token 4</x:v>
      </x:c>
      <x:c r="G5" s="34" t="str">
        <x:v>Token 5</x:v>
      </x:c>
      <x:c r="H5" s="34" t="str">
        <x:v>Token 6</x:v>
      </x:c>
      <x:c r="I5" s="34" t="str">
        <x:v>Word count</x:v>
      </x:c>
    </x:row>
    <x:row r="6">
      <x:c r="A6" t="str">
        <x:v>D1</x:v>
      </x:c>
      <x:c r="B6" t="str">
        <x:f>TRIM(C6&amp;" "&amp;D6&amp;" "&amp;E6&amp;" "&amp;F6&amp;" "&amp;G6&amp;" "&amp;H6)</x:f>
        <x:v>cat cat eats fish</x:v>
      </x:c>
      <x:c r="C6" s="48" t="str">
        <x:v>cat</x:v>
      </x:c>
      <x:c r="D6" s="48" t="str">
        <x:v>cat</x:v>
      </x:c>
      <x:c r="E6" s="48" t="str">
        <x:v>eats</x:v>
      </x:c>
      <x:c r="F6" s="48" t="str">
        <x:v>fish</x:v>
      </x:c>
      <x:c r="G6" s="48"/>
      <x:c r="H6" s="48"/>
      <x:c r="I6" s="54" t="n">
        <x:f>COUNTA(C6:H6)</x:f>
        <x:v>4</x:v>
      </x:c>
    </x:row>
    <x:row r="7">
      <x:c r="A7" t="str">
        <x:v>D2</x:v>
      </x:c>
      <x:c r="B7" t="str">
        <x:f>TRIM(C7&amp;" "&amp;D7&amp;" "&amp;E7&amp;" "&amp;F7&amp;" "&amp;G7&amp;" "&amp;H7)</x:f>
        <x:v>dog eats fish</x:v>
      </x:c>
      <x:c r="C7" s="48" t="str">
        <x:v>dog</x:v>
      </x:c>
      <x:c r="D7" s="48" t="str">
        <x:v>eats</x:v>
      </x:c>
      <x:c r="E7" s="48" t="str">
        <x:v>fish</x:v>
      </x:c>
      <x:c r="F7" s="48"/>
      <x:c r="G7" s="48"/>
      <x:c r="H7" s="48"/>
      <x:c r="I7" s="54" t="n">
        <x:f>COUNTA(C7:H7)</x:f>
        <x:v>3</x:v>
      </x:c>
    </x:row>
    <x:row r="8">
      <x:c r="A8" t="str">
        <x:v>D3</x:v>
      </x:c>
      <x:c r="B8" t="str">
        <x:f>TRIM(C8&amp;" "&amp;D8&amp;" "&amp;E8&amp;" "&amp;F8&amp;" "&amp;G8&amp;" "&amp;H8)</x:f>
        <x:v>cat dog eats plays</x:v>
      </x:c>
      <x:c r="C8" s="48" t="str">
        <x:v>cat</x:v>
      </x:c>
      <x:c r="D8" s="48" t="str">
        <x:v>dog</x:v>
      </x:c>
      <x:c r="E8" s="48" t="str">
        <x:v>eats</x:v>
      </x:c>
      <x:c r="F8" s="48" t="str">
        <x:v>plays</x:v>
      </x:c>
      <x:c r="G8" s="48"/>
      <x:c r="H8" s="48"/>
      <x:c r="I8" s="54" t="n">
        <x:f>COUNTA(C8:H8)</x:f>
        <x:v>4</x:v>
      </x:c>
    </x:row>
    <x:row r="9">
      <x:c r="A9" t="str">
        <x:v>D4</x:v>
      </x:c>
      <x:c r="B9" t="str">
        <x:f>TRIM(C9&amp;" "&amp;D9&amp;" "&amp;E9&amp;" "&amp;F9&amp;" "&amp;G9&amp;" "&amp;H9)</x:f>
        <x:v>bird eats seeds</x:v>
      </x:c>
      <x:c r="C9" s="48" t="str">
        <x:v>bird</x:v>
      </x:c>
      <x:c r="D9" s="48" t="str">
        <x:v>eats</x:v>
      </x:c>
      <x:c r="E9" s="48" t="str">
        <x:v>seeds</x:v>
      </x:c>
      <x:c r="F9" s="48"/>
      <x:c r="G9" s="48"/>
      <x:c r="H9" s="48"/>
      <x:c r="I9" s="54" t="n">
        <x:f>COUNTA(C9:H9)</x:f>
        <x:v>3</x:v>
      </x:c>
    </x:row>
    <x:row r="12" ht="30" customHeight="1">
      <x:c r="A12" s="58" t="str">
        <x:v>N (documents)</x:v>
      </x:c>
      <x:c r="B12" s="58" t="n">
        <x:f>COUNTA(A6:A9)</x:f>
        <x:v>4</x:v>
      </x:c>
    </x:row>
    <x:row r="15" ht="25" customHeight="1">
      <x:c r="A15" s="60" t="str">
        <x:v>Editing rule: To experiment, replace tokens with words already listed in the Word Counts tab. If you introduce a new word, add that word to the vocabulary and extend the formulas in all calculation tabs. Keep one word per token cell (up to six per sentence).</x:v>
      </x:c>
      <x:c r="B15" s="60"/>
      <x:c r="C15" s="60"/>
      <x:c r="D15" s="60"/>
      <x:c r="E15" s="60"/>
      <x:c r="F15" s="60"/>
      <x:c r="G15" s="60"/>
      <x:c r="H15" s="60"/>
      <x:c r="I15" s="60"/>
    </x:row>
    <x:row r="16" ht="25" customHeight="1">
      <x:c r="A16" s="60"/>
      <x:c r="B16" s="60"/>
      <x:c r="C16" s="60"/>
      <x:c r="D16" s="60"/>
      <x:c r="E16" s="60"/>
      <x:c r="F16" s="60"/>
      <x:c r="G16" s="60"/>
      <x:c r="H16" s="60"/>
      <x:c r="I16" s="60"/>
    </x:row>
  </x:sheetData>
  <x:mergeCells>
    <x:mergeCell ref="A1:I2"/>
    <x:mergeCell ref="A3:I3"/>
    <x:mergeCell ref="A15:I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0" hidden="0" customWidth="1"/>
    <x:col min="7" max="7" width="24" hidden="0" customWidth="1"/>
    <x:col min="8" max="8" width="25" hidden="0" customWidth="1"/>
  </x:cols>
  <x:sheetData>
    <x:row r="1" ht="25" customHeight="1">
      <x:c r="A1" s="4" t="str">
        <x:v>02 | Word Counts (Raw TF Numerator)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3" ht="30" customHeight="1">
      <x:c r="A3" s="11" t="str">
        <x:v>COUNTIF counts how many times each vocabulary word appears within each document.</x:v>
      </x:c>
      <x:c r="B3" s="11"/>
      <x:c r="C3" s="11"/>
      <x:c r="D3" s="11"/>
      <x:c r="E3" s="11"/>
      <x:c r="F3" s="11"/>
      <x:c r="G3" s="11"/>
      <x:c r="H3" s="11"/>
    </x:row>
    <x:row r="5" ht="28" customHeight="1">
      <x:c r="A5" s="34" t="str">
        <x:v>Word</x:v>
      </x:c>
      <x:c r="B5" s="34" t="str">
        <x:v>D1 count</x:v>
      </x:c>
      <x:c r="C5" s="34" t="str">
        <x:v>D2 count</x:v>
      </x:c>
      <x:c r="D5" s="34" t="str">
        <x:v>D3 count</x:v>
      </x:c>
      <x:c r="E5" s="34" t="str">
        <x:v>D4 count</x:v>
      </x:c>
      <x:c r="F5" s="34" t="str">
        <x:v>Total appearances</x:v>
      </x:c>
    </x:row>
    <x:row r="6">
      <x:c r="A6" t="str">
        <x:v>cat</x:v>
      </x:c>
      <x:c r="B6" t="n">
        <x:f>COUNTIF(Corpus!$C$6:$H$6,$A6)</x:f>
        <x:v>2</x:v>
      </x:c>
      <x:c r="C6" t="n">
        <x:f>COUNTIF(Corpus!$C$7:$H$7,$A6)</x:f>
        <x:v>0</x:v>
      </x:c>
      <x:c r="D6" t="n">
        <x:f>COUNTIF(Corpus!$C$8:$H$8,$A6)</x:f>
        <x:v>1</x:v>
      </x:c>
      <x:c r="E6" t="n">
        <x:f>COUNTIF(Corpus!$C$9:$H$9,$A6)</x:f>
        <x:v>0</x:v>
      </x:c>
      <x:c r="F6" t="n">
        <x:f>SUM(B6:E6)</x:f>
        <x:v>3</x:v>
      </x:c>
    </x:row>
    <x:row r="7">
      <x:c r="A7" t="str">
        <x:v>dog</x:v>
      </x:c>
      <x:c r="B7" t="n">
        <x:f>COUNTIF(Corpus!$C$6:$H$6,$A7)</x:f>
        <x:v>0</x:v>
      </x:c>
      <x:c r="C7" t="n">
        <x:f>COUNTIF(Corpus!$C$7:$H$7,$A7)</x:f>
        <x:v>1</x:v>
      </x:c>
      <x:c r="D7" t="n">
        <x:f>COUNTIF(Corpus!$C$8:$H$8,$A7)</x:f>
        <x:v>1</x:v>
      </x:c>
      <x:c r="E7" t="n">
        <x:f>COUNTIF(Corpus!$C$9:$H$9,$A7)</x:f>
        <x:v>0</x:v>
      </x:c>
      <x:c r="F7" t="n">
        <x:f>SUM(B7:E7)</x:f>
        <x:v>2</x:v>
      </x:c>
    </x:row>
    <x:row r="8">
      <x:c r="A8" t="str">
        <x:v>eats</x:v>
      </x:c>
      <x:c r="B8" t="n">
        <x:f>COUNTIF(Corpus!$C$6:$H$6,$A8)</x:f>
        <x:v>1</x:v>
      </x:c>
      <x:c r="C8" t="n">
        <x:f>COUNTIF(Corpus!$C$7:$H$7,$A8)</x:f>
        <x:v>1</x:v>
      </x:c>
      <x:c r="D8" t="n">
        <x:f>COUNTIF(Corpus!$C$8:$H$8,$A8)</x:f>
        <x:v>1</x:v>
      </x:c>
      <x:c r="E8" t="n">
        <x:f>COUNTIF(Corpus!$C$9:$H$9,$A8)</x:f>
        <x:v>1</x:v>
      </x:c>
      <x:c r="F8" t="n">
        <x:f>SUM(B8:E8)</x:f>
        <x:v>4</x:v>
      </x:c>
    </x:row>
    <x:row r="9">
      <x:c r="A9" t="str">
        <x:v>fish</x:v>
      </x:c>
      <x:c r="B9" t="n">
        <x:f>COUNTIF(Corpus!$C$6:$H$6,$A9)</x:f>
        <x:v>1</x:v>
      </x:c>
      <x:c r="C9" t="n">
        <x:f>COUNTIF(Corpus!$C$7:$H$7,$A9)</x:f>
        <x:v>1</x:v>
      </x:c>
      <x:c r="D9" t="n">
        <x:f>COUNTIF(Corpus!$C$8:$H$8,$A9)</x:f>
        <x:v>0</x:v>
      </x:c>
      <x:c r="E9" t="n">
        <x:f>COUNTIF(Corpus!$C$9:$H$9,$A9)</x:f>
        <x:v>0</x:v>
      </x:c>
      <x:c r="F9" t="n">
        <x:f>SUM(B9:E9)</x:f>
        <x:v>2</x:v>
      </x:c>
    </x:row>
    <x:row r="10">
      <x:c r="A10" t="str">
        <x:v>plays</x:v>
      </x:c>
      <x:c r="B10" t="n">
        <x:f>COUNTIF(Corpus!$C$6:$H$6,$A10)</x:f>
        <x:v>0</x:v>
      </x:c>
      <x:c r="C10" t="n">
        <x:f>COUNTIF(Corpus!$C$7:$H$7,$A10)</x:f>
        <x:v>0</x:v>
      </x:c>
      <x:c r="D10" t="n">
        <x:f>COUNTIF(Corpus!$C$8:$H$8,$A10)</x:f>
        <x:v>1</x:v>
      </x:c>
      <x:c r="E10" t="n">
        <x:f>COUNTIF(Corpus!$C$9:$H$9,$A10)</x:f>
        <x:v>0</x:v>
      </x:c>
      <x:c r="F10" t="n">
        <x:f>SUM(B10:E10)</x:f>
        <x:v>1</x:v>
      </x:c>
    </x:row>
    <x:row r="11">
      <x:c r="A11" t="str">
        <x:v>bird</x:v>
      </x:c>
      <x:c r="B11" t="n">
        <x:f>COUNTIF(Corpus!$C$6:$H$6,$A11)</x:f>
        <x:v>0</x:v>
      </x:c>
      <x:c r="C11" t="n">
        <x:f>COUNTIF(Corpus!$C$7:$H$7,$A11)</x:f>
        <x:v>0</x:v>
      </x:c>
      <x:c r="D11" t="n">
        <x:f>COUNTIF(Corpus!$C$8:$H$8,$A11)</x:f>
        <x:v>0</x:v>
      </x:c>
      <x:c r="E11" t="n">
        <x:f>COUNTIF(Corpus!$C$9:$H$9,$A11)</x:f>
        <x:v>1</x:v>
      </x:c>
      <x:c r="F11" t="n">
        <x:f>SUM(B11:E11)</x:f>
        <x:v>1</x:v>
      </x:c>
    </x:row>
    <x:row r="12">
      <x:c r="A12" t="str">
        <x:v>seeds</x:v>
      </x:c>
      <x:c r="B12" t="n">
        <x:f>COUNTIF(Corpus!$C$6:$H$6,$A12)</x:f>
        <x:v>0</x:v>
      </x:c>
      <x:c r="C12" t="n">
        <x:f>COUNTIF(Corpus!$C$7:$H$7,$A12)</x:f>
        <x:v>0</x:v>
      </x:c>
      <x:c r="D12" t="n">
        <x:f>COUNTIF(Corpus!$C$8:$H$8,$A12)</x:f>
        <x:v>0</x:v>
      </x:c>
      <x:c r="E12" t="n">
        <x:f>COUNTIF(Corpus!$C$9:$H$9,$A12)</x:f>
        <x:v>1</x:v>
      </x:c>
      <x:c r="F12" t="n">
        <x:f>SUM(B12:E12)</x:f>
        <x:v>1</x:v>
      </x:c>
    </x:row>
    <x:row r="14">
      <x:c r="A14" s="58" t="str">
        <x:v>TOTAL</x:v>
      </x:c>
      <x:c r="B14" s="58" t="n">
        <x:f>SUM(B6:B12)</x:f>
        <x:v>4</x:v>
      </x:c>
      <x:c r="C14" s="58" t="n">
        <x:f>SUM(C6:C12)</x:f>
        <x:v>3</x:v>
      </x:c>
      <x:c r="D14" s="58" t="n">
        <x:f>SUM(D6:D12)</x:f>
        <x:v>4</x:v>
      </x:c>
      <x:c r="E14" s="58" t="n">
        <x:f>SUM(E6:E12)</x:f>
        <x:v>3</x:v>
      </x:c>
      <x:c r="F14" s="58" t="n">
        <x:f>SUM(F6:F12)</x:f>
        <x:v>14</x:v>
      </x:c>
    </x:row>
    <x:row r="17" ht="27" customHeight="1">
      <x:c r="A17" s="18" t="str">
        <x:v>COUNTING EXAMPLE</x:v>
      </x:c>
      <x:c r="B17" s="18"/>
      <x:c r="C17" s="18"/>
      <x:c r="D17" s="18"/>
      <x:c r="E17" s="18"/>
      <x:c r="F17" s="18"/>
      <x:c r="G17" s="18"/>
      <x:c r="H17" s="18"/>
    </x:row>
    <x:row r="19" ht="28" customHeight="1">
      <x:c r="A19" s="34" t="str">
        <x:v>Question</x:v>
      </x:c>
      <x:c r="B19" s="34" t="str">
        <x:v>Expected answer</x:v>
      </x:c>
      <x:c r="C19" s="34" t="str">
        <x:v>Reason</x:v>
      </x:c>
      <x:c r="D19" s="34"/>
      <x:c r="E19" s="31"/>
      <x:c r="F19" s="31"/>
      <x:c r="G19" s="31" t="str">
        <x:v>Excel cell</x:v>
      </x:c>
    </x:row>
    <x:row r="20" ht="35" customHeight="1">
      <x:c r="A20" t="str">
        <x:v>How many 'cat' in D1?</x:v>
      </x:c>
      <x:c r="B20" s="62" t="n">
        <x:v>2</x:v>
      </x:c>
      <x:c r="C20" s="28" t="str">
        <x:v>cat cat eats fish (2 occurrences)</x:v>
      </x:c>
      <x:c r="D20" s="28"/>
      <x:c r="E20" s="28"/>
      <x:c r="F20" s="28"/>
      <x:c r="G20" t="str">
        <x:v>B6</x:v>
      </x:c>
    </x:row>
    <x:row r="21" ht="35" customHeight="1">
      <x:c r="A21" t="str">
        <x:v>How many 'eats' in D1?</x:v>
      </x:c>
      <x:c r="B21" s="62" t="n">
        <x:v>1</x:v>
      </x:c>
      <x:c r="C21" s="28" t="str">
        <x:v>cat cat eats fish (1 occurrence)</x:v>
      </x:c>
      <x:c r="D21" s="28"/>
      <x:c r="E21" s="28"/>
      <x:c r="F21" s="28"/>
      <x:c r="G21" t="str">
        <x:v>B8</x:v>
      </x:c>
    </x:row>
    <x:row r="22" ht="35" customHeight="1">
      <x:c r="A22" t="str">
        <x:v>How many total 'eats'?</x:v>
      </x:c>
      <x:c r="B22" s="62" t="n">
        <x:v>4</x:v>
      </x:c>
      <x:c r="C22" s="28" t="str">
        <x:v>Once in each of the 4 documents</x:v>
      </x:c>
      <x:c r="D22" s="28"/>
      <x:c r="E22" s="28"/>
      <x:c r="F22" s="28"/>
      <x:c r="G22" t="str">
        <x:v>F8</x:v>
      </x:c>
    </x:row>
  </x:sheetData>
  <x:mergeCells>
    <x:mergeCell ref="A1:H2"/>
    <x:mergeCell ref="A3:H3"/>
    <x:mergeCell ref="A17:H17"/>
    <x:mergeCell ref="C19:F19"/>
    <x:mergeCell ref="C20:F20"/>
    <x:mergeCell ref="C21:F21"/>
    <x:mergeCell ref="C22:F2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4" hidden="0" customWidth="1"/>
    <x:col min="7" max="7" width="25" hidden="0" customWidth="1"/>
    <x:col min="8" max="8" width="23" hidden="0" customWidth="1"/>
  </x:cols>
  <x:sheetData>
    <x:row r="1" ht="25" customHeight="1">
      <x:c r="A1" s="4" t="str">
        <x:v>03 | Term Frequency (TF)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3" ht="30" customHeight="1">
      <x:c r="A3" s="11" t="str">
        <x:v>TF = occurrences of a word in the document / total words in that document.</x:v>
      </x:c>
      <x:c r="B3" s="11"/>
      <x:c r="C3" s="11"/>
      <x:c r="D3" s="11"/>
      <x:c r="E3" s="11"/>
      <x:c r="F3" s="11"/>
      <x:c r="G3" s="11"/>
      <x:c r="H3" s="11"/>
    </x:row>
    <x:row r="5" ht="28" customHeight="1">
      <x:c r="A5" s="34" t="str">
        <x:v>Word</x:v>
      </x:c>
      <x:c r="B5" s="34" t="str">
        <x:v>D1 TF</x:v>
      </x:c>
      <x:c r="C5" s="34" t="str">
        <x:v>D2 TF</x:v>
      </x:c>
      <x:c r="D5" s="34" t="str">
        <x:v>D3 TF</x:v>
      </x:c>
      <x:c r="E5" s="34" t="str">
        <x:v>D4 TF</x:v>
      </x:c>
    </x:row>
    <x:row r="6">
      <x:c r="A6" t="str">
        <x:f>'Word Counts'!A6</x:f>
        <x:v>cat</x:v>
      </x:c>
      <x:c r="B6" s="64" t="n">
        <x:f>IF(Corpus!$I$6=0,0,'Word Counts'!B6/Corpus!$I$6)</x:f>
        <x:v>0.5</x:v>
      </x:c>
      <x:c r="C6" s="64" t="n">
        <x:f>IF(Corpus!$I$7=0,0,'Word Counts'!C6/Corpus!$I$7)</x:f>
        <x:v>0</x:v>
      </x:c>
      <x:c r="D6" s="64" t="n">
        <x:f>IF(Corpus!$I$8=0,0,'Word Counts'!D6/Corpus!$I$8)</x:f>
        <x:v>0.25</x:v>
      </x:c>
      <x:c r="E6" s="64" t="n">
        <x:f>IF(Corpus!$I$9=0,0,'Word Counts'!E6/Corpus!$I$9)</x:f>
        <x:v>0</x:v>
      </x:c>
    </x:row>
    <x:row r="7">
      <x:c r="A7" t="str">
        <x:f>'Word Counts'!A7</x:f>
        <x:v>dog</x:v>
      </x:c>
      <x:c r="B7" s="64" t="n">
        <x:f>IF(Corpus!$I$6=0,0,'Word Counts'!B7/Corpus!$I$6)</x:f>
        <x:v>0</x:v>
      </x:c>
      <x:c r="C7" s="64" t="n">
        <x:f>IF(Corpus!$I$7=0,0,'Word Counts'!C7/Corpus!$I$7)</x:f>
        <x:v>0.3333333333333333</x:v>
      </x:c>
      <x:c r="D7" s="64" t="n">
        <x:f>IF(Corpus!$I$8=0,0,'Word Counts'!D7/Corpus!$I$8)</x:f>
        <x:v>0.25</x:v>
      </x:c>
      <x:c r="E7" s="64" t="n">
        <x:f>IF(Corpus!$I$9=0,0,'Word Counts'!E7/Corpus!$I$9)</x:f>
        <x:v>0</x:v>
      </x:c>
    </x:row>
    <x:row r="8">
      <x:c r="A8" t="str">
        <x:f>'Word Counts'!A8</x:f>
        <x:v>eats</x:v>
      </x:c>
      <x:c r="B8" s="64" t="n">
        <x:f>IF(Corpus!$I$6=0,0,'Word Counts'!B8/Corpus!$I$6)</x:f>
        <x:v>0.25</x:v>
      </x:c>
      <x:c r="C8" s="64" t="n">
        <x:f>IF(Corpus!$I$7=0,0,'Word Counts'!C8/Corpus!$I$7)</x:f>
        <x:v>0.3333333333333333</x:v>
      </x:c>
      <x:c r="D8" s="64" t="n">
        <x:f>IF(Corpus!$I$8=0,0,'Word Counts'!D8/Corpus!$I$8)</x:f>
        <x:v>0.25</x:v>
      </x:c>
      <x:c r="E8" s="64" t="n">
        <x:f>IF(Corpus!$I$9=0,0,'Word Counts'!E8/Corpus!$I$9)</x:f>
        <x:v>0.3333333333333333</x:v>
      </x:c>
    </x:row>
    <x:row r="9">
      <x:c r="A9" t="str">
        <x:f>'Word Counts'!A9</x:f>
        <x:v>fish</x:v>
      </x:c>
      <x:c r="B9" s="64" t="n">
        <x:f>IF(Corpus!$I$6=0,0,'Word Counts'!B9/Corpus!$I$6)</x:f>
        <x:v>0.25</x:v>
      </x:c>
      <x:c r="C9" s="64" t="n">
        <x:f>IF(Corpus!$I$7=0,0,'Word Counts'!C9/Corpus!$I$7)</x:f>
        <x:v>0.3333333333333333</x:v>
      </x:c>
      <x:c r="D9" s="64" t="n">
        <x:f>IF(Corpus!$I$8=0,0,'Word Counts'!D9/Corpus!$I$8)</x:f>
        <x:v>0</x:v>
      </x:c>
      <x:c r="E9" s="64" t="n">
        <x:f>IF(Corpus!$I$9=0,0,'Word Counts'!E9/Corpus!$I$9)</x:f>
        <x:v>0</x:v>
      </x:c>
    </x:row>
    <x:row r="10">
      <x:c r="A10" t="str">
        <x:f>'Word Counts'!A10</x:f>
        <x:v>plays</x:v>
      </x:c>
      <x:c r="B10" s="64" t="n">
        <x:f>IF(Corpus!$I$6=0,0,'Word Counts'!B10/Corpus!$I$6)</x:f>
        <x:v>0</x:v>
      </x:c>
      <x:c r="C10" s="64" t="n">
        <x:f>IF(Corpus!$I$7=0,0,'Word Counts'!C10/Corpus!$I$7)</x:f>
        <x:v>0</x:v>
      </x:c>
      <x:c r="D10" s="64" t="n">
        <x:f>IF(Corpus!$I$8=0,0,'Word Counts'!D10/Corpus!$I$8)</x:f>
        <x:v>0.25</x:v>
      </x:c>
      <x:c r="E10" s="64" t="n">
        <x:f>IF(Corpus!$I$9=0,0,'Word Counts'!E10/Corpus!$I$9)</x:f>
        <x:v>0</x:v>
      </x:c>
    </x:row>
    <x:row r="11">
      <x:c r="A11" t="str">
        <x:f>'Word Counts'!A11</x:f>
        <x:v>bird</x:v>
      </x:c>
      <x:c r="B11" s="64" t="n">
        <x:f>IF(Corpus!$I$6=0,0,'Word Counts'!B11/Corpus!$I$6)</x:f>
        <x:v>0</x:v>
      </x:c>
      <x:c r="C11" s="64" t="n">
        <x:f>IF(Corpus!$I$7=0,0,'Word Counts'!C11/Corpus!$I$7)</x:f>
        <x:v>0</x:v>
      </x:c>
      <x:c r="D11" s="64" t="n">
        <x:f>IF(Corpus!$I$8=0,0,'Word Counts'!D11/Corpus!$I$8)</x:f>
        <x:v>0</x:v>
      </x:c>
      <x:c r="E11" s="64" t="n">
        <x:f>IF(Corpus!$I$9=0,0,'Word Counts'!E11/Corpus!$I$9)</x:f>
        <x:v>0.3333333333333333</x:v>
      </x:c>
    </x:row>
    <x:row r="12">
      <x:c r="A12" t="str">
        <x:f>'Word Counts'!A12</x:f>
        <x:v>seeds</x:v>
      </x:c>
      <x:c r="B12" s="64" t="n">
        <x:f>IF(Corpus!$I$6=0,0,'Word Counts'!B12/Corpus!$I$6)</x:f>
        <x:v>0</x:v>
      </x:c>
      <x:c r="C12" s="64" t="n">
        <x:f>IF(Corpus!$I$7=0,0,'Word Counts'!C12/Corpus!$I$7)</x:f>
        <x:v>0</x:v>
      </x:c>
      <x:c r="D12" s="64" t="n">
        <x:f>IF(Corpus!$I$8=0,0,'Word Counts'!D12/Corpus!$I$8)</x:f>
        <x:v>0</x:v>
      </x:c>
      <x:c r="E12" s="64" t="n">
        <x:f>IF(Corpus!$I$9=0,0,'Word Counts'!E12/Corpus!$I$9)</x:f>
        <x:v>0.3333333333333333</x:v>
      </x:c>
    </x:row>
    <x:row r="13">
      <x:c r="B13" s="64"/>
      <x:c r="C13" s="64"/>
      <x:c r="D13" s="64"/>
      <x:c r="E13" s="64"/>
    </x:row>
    <x:row r="14">
      <x:c r="A14" s="58" t="str">
        <x:v>TF total</x:v>
      </x:c>
      <x:c r="B14" s="65" t="n">
        <x:f>SUM(B6:B12)</x:f>
        <x:v>1</x:v>
      </x:c>
      <x:c r="C14" s="65" t="n">
        <x:f>SUM(C6:C12)</x:f>
        <x:v>1</x:v>
      </x:c>
      <x:c r="D14" s="65" t="n">
        <x:f>SUM(D6:D12)</x:f>
        <x:v>1</x:v>
      </x:c>
      <x:c r="E14" s="65" t="n">
        <x:f>SUM(E6:E12)</x:f>
        <x:v>1</x:v>
      </x:c>
    </x:row>
    <x:row r="17" ht="27" customHeight="1">
      <x:c r="A17" s="18" t="str">
        <x:v>CHECK THE DENOMINATOR</x:v>
      </x:c>
      <x:c r="B17" s="18"/>
      <x:c r="C17" s="18"/>
      <x:c r="D17" s="18"/>
      <x:c r="E17" s="18"/>
      <x:c r="F17" s="18"/>
      <x:c r="G17" s="18"/>
      <x:c r="H17" s="18"/>
    </x:row>
    <x:row r="19" ht="28" customHeight="1">
      <x:c r="A19" s="34" t="str">
        <x:v>Document</x:v>
      </x:c>
      <x:c r="B19" s="34" t="str">
        <x:v>Words</x:v>
      </x:c>
      <x:c r="C19" s="34" t="str">
        <x:v>Example term</x:v>
      </x:c>
      <x:c r="D19" s="34" t="str">
        <x:v>TF manually</x:v>
      </x:c>
    </x:row>
    <x:row r="20">
      <x:c r="A20" t="str">
        <x:v>D1</x:v>
      </x:c>
      <x:c r="B20" t="n">
        <x:v>4</x:v>
      </x:c>
      <x:c r="C20" t="str">
        <x:v>cat</x:v>
      </x:c>
      <x:c r="D20" t="str">
        <x:v>2 / 4 = 0.500000</x:v>
      </x:c>
    </x:row>
    <x:row r="21">
      <x:c r="A21" t="str">
        <x:v>D2</x:v>
      </x:c>
      <x:c r="B21" t="n">
        <x:v>3</x:v>
      </x:c>
      <x:c r="C21" t="str">
        <x:v>dog</x:v>
      </x:c>
      <x:c r="D21" t="str">
        <x:v>1 / 3 = 0.333333</x:v>
      </x:c>
    </x:row>
    <x:row r="22">
      <x:c r="A22" t="str">
        <x:v>D3</x:v>
      </x:c>
      <x:c r="B22" t="n">
        <x:v>4</x:v>
      </x:c>
      <x:c r="C22" t="str">
        <x:v>plays</x:v>
      </x:c>
      <x:c r="D22" t="str">
        <x:v>1 / 4 = 0.250000</x:v>
      </x:c>
    </x:row>
    <x:row r="23">
      <x:c r="A23" t="str">
        <x:v>D4</x:v>
      </x:c>
      <x:c r="B23" t="n">
        <x:v>3</x:v>
      </x:c>
      <x:c r="C23" t="str">
        <x:v>bird</x:v>
      </x:c>
      <x:c r="D23" t="str">
        <x:v>1 / 3 = 0.333333</x:v>
      </x:c>
    </x:row>
    <x:row r="25" ht="24" customHeight="1">
      <x:c r="A25" s="60" t="str">
        <x:v>Because this teaching corpus includes every distinct word in the vocabulary, each non-empty document's TF column should sum to 1.000000.</x:v>
      </x:c>
      <x:c r="B25" s="60"/>
      <x:c r="C25" s="60"/>
      <x:c r="D25" s="60"/>
      <x:c r="E25" s="60"/>
      <x:c r="F25" s="60"/>
      <x:c r="G25" s="60"/>
      <x:c r="H25" s="60"/>
    </x:row>
    <x:row r="26" ht="24" customHeight="1">
      <x:c r="A26" s="60"/>
      <x:c r="B26" s="60"/>
      <x:c r="C26" s="60"/>
      <x:c r="D26" s="60"/>
      <x:c r="E26" s="60"/>
      <x:c r="F26" s="60"/>
      <x:c r="G26" s="60"/>
      <x:c r="H26" s="60"/>
    </x:row>
  </x:sheetData>
  <x:mergeCells>
    <x:mergeCell ref="A1:H2"/>
    <x:mergeCell ref="A3:H3"/>
    <x:mergeCell ref="A17:H17"/>
    <x:mergeCell ref="A25:H2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9" hidden="0" customWidth="1"/>
    <x:col min="4" max="4" width="19" hidden="0" customWidth="1"/>
    <x:col min="5" max="5" width="4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6" hidden="0" customWidth="1"/>
  </x:cols>
  <x:sheetData>
    <x:row r="1" ht="25" customHeight="1">
      <x:c r="A1" s="4" t="str">
        <x:v>04 | Inverse Document Frequency (IDF)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30" customHeight="1">
      <x:c r="A3" s="11" t="str">
        <x:v>A common word has low IDF; a word in all 4 documents has IDF = 0.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</x:row>
    <x:row r="5" ht="28" customHeight="1">
      <x:c r="A5" s="34" t="str">
        <x:v>Word</x:v>
      </x:c>
      <x:c r="B5" s="34" t="str">
        <x:v>DF (# docs)</x:v>
      </x:c>
      <x:c r="C5" s="34" t="str">
        <x:v>N / DF</x:v>
      </x:c>
      <x:c r="D5" s="34" t="str">
        <x:v>IDF = LOG10(N/DF)</x:v>
      </x:c>
    </x:row>
    <x:row r="6">
      <x:c r="A6" t="str">
        <x:f>'Word Counts'!A6</x:f>
        <x:v>cat</x:v>
      </x:c>
      <x:c r="B6" t="n">
        <x:f>COUNTIF('Word Counts'!B6:E6,"&gt;0")</x:f>
        <x:v>2</x:v>
      </x:c>
      <x:c r="C6" s="64" t="n">
        <x:f>IF(B6=0,0,Corpus!$B$12/B6)</x:f>
        <x:v>2</x:v>
      </x:c>
      <x:c r="D6" s="64" t="n">
        <x:f>IF(B6=0,0,LOG10(C6))</x:f>
        <x:v>0.301029995663981</x:v>
      </x:c>
    </x:row>
    <x:row r="7">
      <x:c r="A7" t="str">
        <x:f>'Word Counts'!A7</x:f>
        <x:v>dog</x:v>
      </x:c>
      <x:c r="B7" t="n">
        <x:f>COUNTIF('Word Counts'!B7:E7,"&gt;0")</x:f>
        <x:v>2</x:v>
      </x:c>
      <x:c r="C7" s="64" t="n">
        <x:f>IF(B7=0,0,Corpus!$B$12/B7)</x:f>
        <x:v>2</x:v>
      </x:c>
      <x:c r="D7" s="64" t="n">
        <x:f>IF(B7=0,0,LOG10(C7))</x:f>
        <x:v>0.301029995663981</x:v>
      </x:c>
    </x:row>
    <x:row r="8">
      <x:c r="A8" t="str">
        <x:f>'Word Counts'!A8</x:f>
        <x:v>eats</x:v>
      </x:c>
      <x:c r="B8" t="n">
        <x:f>COUNTIF('Word Counts'!B8:E8,"&gt;0")</x:f>
        <x:v>4</x:v>
      </x:c>
      <x:c r="C8" s="64" t="n">
        <x:f>IF(B8=0,0,Corpus!$B$12/B8)</x:f>
        <x:v>1</x:v>
      </x:c>
      <x:c r="D8" s="64" t="n">
        <x:f>IF(B8=0,0,LOG10(C8))</x:f>
        <x:v>0</x:v>
      </x:c>
    </x:row>
    <x:row r="9">
      <x:c r="A9" t="str">
        <x:f>'Word Counts'!A9</x:f>
        <x:v>fish</x:v>
      </x:c>
      <x:c r="B9" t="n">
        <x:f>COUNTIF('Word Counts'!B9:E9,"&gt;0")</x:f>
        <x:v>2</x:v>
      </x:c>
      <x:c r="C9" s="64" t="n">
        <x:f>IF(B9=0,0,Corpus!$B$12/B9)</x:f>
        <x:v>2</x:v>
      </x:c>
      <x:c r="D9" s="64" t="n">
        <x:f>IF(B9=0,0,LOG10(C9))</x:f>
        <x:v>0.301029995663981</x:v>
      </x:c>
    </x:row>
    <x:row r="10">
      <x:c r="A10" t="str">
        <x:f>'Word Counts'!A10</x:f>
        <x:v>plays</x:v>
      </x:c>
      <x:c r="B10" t="n">
        <x:f>COUNTIF('Word Counts'!B10:E10,"&gt;0")</x:f>
        <x:v>1</x:v>
      </x:c>
      <x:c r="C10" s="64" t="n">
        <x:f>IF(B10=0,0,Corpus!$B$12/B10)</x:f>
        <x:v>4</x:v>
      </x:c>
      <x:c r="D10" s="64" t="n">
        <x:f>IF(B10=0,0,LOG10(C10))</x:f>
        <x:v>0.602059991327962</x:v>
      </x:c>
    </x:row>
    <x:row r="11">
      <x:c r="A11" t="str">
        <x:f>'Word Counts'!A11</x:f>
        <x:v>bird</x:v>
      </x:c>
      <x:c r="B11" t="n">
        <x:f>COUNTIF('Word Counts'!B11:E11,"&gt;0")</x:f>
        <x:v>1</x:v>
      </x:c>
      <x:c r="C11" s="64" t="n">
        <x:f>IF(B11=0,0,Corpus!$B$12/B11)</x:f>
        <x:v>4</x:v>
      </x:c>
      <x:c r="D11" s="64" t="n">
        <x:f>IF(B11=0,0,LOG10(C11))</x:f>
        <x:v>0.602059991327962</x:v>
      </x:c>
    </x:row>
    <x:row r="12">
      <x:c r="A12" t="str">
        <x:f>'Word Counts'!A12</x:f>
        <x:v>seeds</x:v>
      </x:c>
      <x:c r="B12" t="n">
        <x:f>COUNTIF('Word Counts'!B12:E12,"&gt;0")</x:f>
        <x:v>1</x:v>
      </x:c>
      <x:c r="C12" s="64" t="n">
        <x:f>IF(B12=0,0,Corpus!$B$12/B12)</x:f>
        <x:v>4</x:v>
      </x:c>
      <x:c r="D12" s="64" t="n">
        <x:f>IF(B12=0,0,LOG10(C12))</x:f>
        <x:v>0.602059991327962</x:v>
      </x:c>
    </x:row>
    <x:row r="15" ht="28" customHeight="1">
      <x:c r="A15" s="34" t="str">
        <x:v>Interpretation</x:v>
      </x:c>
      <x:c r="B15" s="34" t="str">
        <x:v>DF</x:v>
      </x:c>
      <x:c r="C15" s="34" t="str">
        <x:v>IDF</x:v>
      </x:c>
      <x:c r="D15" s="34" t="str">
        <x:v>Meaning</x:v>
      </x:c>
    </x:row>
    <x:row r="16">
      <x:c r="A16" t="str">
        <x:v>Word in all 4 docs</x:v>
      </x:c>
      <x:c r="B16" t="n">
        <x:v>4</x:v>
      </x:c>
      <x:c r="C16" t="n">
        <x:v>0</x:v>
      </x:c>
      <x:c r="D16" s="28" t="str">
        <x:v>Not discriminative here</x:v>
      </x:c>
    </x:row>
    <x:row r="17">
      <x:c r="A17" t="str">
        <x:v>Word in 2 of 4 docs</x:v>
      </x:c>
      <x:c r="B17" t="n">
        <x:v>2</x:v>
      </x:c>
      <x:c r="C17" t="n">
        <x:v>0.30103</x:v>
      </x:c>
      <x:c r="D17" s="28" t="str">
        <x:v>Moderately informative</x:v>
      </x:c>
    </x:row>
    <x:row r="18">
      <x:c r="A18" t="str">
        <x:v>Word in 1 of 4 docs</x:v>
      </x:c>
      <x:c r="B18" t="n">
        <x:v>1</x:v>
      </x:c>
      <x:c r="C18" t="n">
        <x:v>0.60206</x:v>
      </x:c>
      <x:c r="D18" s="28" t="str">
        <x:v>More distinctive</x:v>
      </x:c>
    </x:row>
    <x:row r="20" ht="27" customHeight="1">
      <x:c r="A20" s="60" t="str">
        <x:v>Note: This is unsmoothed IDF. If a vocabulary word has DF = 0, the teaching formula shows 0 rather than dividing by zero. In real datasets, vocabulary terms are normally observed in at least one document.</x:v>
      </x:c>
      <x:c r="B20" s="60"/>
      <x:c r="C20" s="60"/>
      <x:c r="D20" s="60"/>
    </x:row>
    <x:row r="21" ht="27" customHeight="1">
      <x:c r="A21" s="60"/>
      <x:c r="B21" s="60"/>
      <x:c r="C21" s="60"/>
      <x:c r="D21" s="60"/>
    </x:row>
    <x:row r="22" ht="27" customHeight="1">
      <x:c r="A22" s="60"/>
      <x:c r="B22" s="60"/>
      <x:c r="C22" s="60"/>
      <x:c r="D22" s="60"/>
    </x:row>
  </x:sheetData>
  <x:mergeCells>
    <x:mergeCell ref="A1:N2"/>
    <x:mergeCell ref="A3:N3"/>
    <x:mergeCell ref="A20:D22"/>
  </x:mergeCells>
  <x:pageMargins left="0.7" right="0.7" top="0.75" bottom="0.75" header="0.3" footer="0.3"/>
  <x:drawing xmlns:r="http://schemas.openxmlformats.org/officeDocument/2006/relationships" r:id="R615650f17eb3430b"/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4" hidden="0" customWidth="1"/>
    <x:col min="7" max="7" width="19" hidden="0" customWidth="1"/>
    <x:col min="8" max="8" width="24" hidden="0" customWidth="1"/>
    <x:col min="9" max="9" width="22" hidden="0" customWidth="1"/>
    <x:col min="10" max="10" width="19" hidden="0" customWidth="1"/>
    <x:col min="11" max="11" width="19" hidden="0" customWidth="1"/>
  </x:cols>
  <x:sheetData>
    <x:row r="1" ht="25" customHeight="1">
      <x:c r="A1" s="4" t="str">
        <x:v>05 | Final TF-IDF Matrix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3" ht="30" customHeight="1">
      <x:c r="A3" s="11" t="str">
        <x:v>Multiply each cell of TF by the IDF for its word. Darker cells indicate higher term importance.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</x:row>
    <x:row r="5" ht="30" customHeight="1">
      <x:c r="A5" s="34" t="str">
        <x:v>Word</x:v>
      </x:c>
      <x:c r="B5" s="34" t="str">
        <x:v>D1 TF-IDF</x:v>
      </x:c>
      <x:c r="C5" s="34" t="str">
        <x:v>D2 TF-IDF</x:v>
      </x:c>
      <x:c r="D5" s="34" t="str">
        <x:v>D3 TF-IDF</x:v>
      </x:c>
      <x:c r="E5" s="34" t="str">
        <x:v>D4 TF-IDF</x:v>
      </x:c>
      <x:c r="G5" s="60" t="str">
        <x:v>How to read this: columns are documents, rows are words. Zero means either the word is absent or its IDF is zero.</x:v>
      </x:c>
      <x:c r="H5" s="60"/>
      <x:c r="I5" s="60"/>
      <x:c r="J5" s="60"/>
      <x:c r="K5" s="60"/>
    </x:row>
    <x:row r="6" ht="30" customHeight="1">
      <x:c r="A6" t="str">
        <x:f>TF!A6</x:f>
        <x:v>cat</x:v>
      </x:c>
      <x:c r="B6" s="64" t="n">
        <x:f>TF!B6*IDF!$D6</x:f>
        <x:v>0.1505149978319905</x:v>
      </x:c>
      <x:c r="C6" s="64" t="n">
        <x:f>TF!C6*IDF!$D6</x:f>
        <x:v>0</x:v>
      </x:c>
      <x:c r="D6" s="64" t="n">
        <x:f>TF!D6*IDF!$D6</x:f>
        <x:v>0.07525749891599524</x:v>
      </x:c>
      <x:c r="E6" s="64" t="n">
        <x:f>TF!E6*IDF!$D6</x:f>
        <x:v>0</x:v>
      </x:c>
      <x:c r="G6" s="60"/>
      <x:c r="H6" s="60"/>
      <x:c r="I6" s="60"/>
      <x:c r="J6" s="60"/>
      <x:c r="K6" s="60"/>
    </x:row>
    <x:row r="7">
      <x:c r="A7" t="str">
        <x:f>TF!A7</x:f>
        <x:v>dog</x:v>
      </x:c>
      <x:c r="B7" s="64" t="n">
        <x:f>TF!B7*IDF!$D7</x:f>
        <x:v>0</x:v>
      </x:c>
      <x:c r="C7" s="64" t="n">
        <x:f>TF!C7*IDF!$D7</x:f>
        <x:v>0.10034333188799366</x:v>
      </x:c>
      <x:c r="D7" s="64" t="n">
        <x:f>TF!D7*IDF!$D7</x:f>
        <x:v>0.07525749891599524</x:v>
      </x:c>
      <x:c r="E7" s="64" t="n">
        <x:f>TF!E7*IDF!$D7</x:f>
        <x:v>0</x:v>
      </x:c>
    </x:row>
    <x:row r="8">
      <x:c r="A8" t="str">
        <x:f>TF!A8</x:f>
        <x:v>eats</x:v>
      </x:c>
      <x:c r="B8" s="64" t="n">
        <x:f>TF!B8*IDF!$D8</x:f>
        <x:v>0</x:v>
      </x:c>
      <x:c r="C8" s="64" t="n">
        <x:f>TF!C8*IDF!$D8</x:f>
        <x:v>0</x:v>
      </x:c>
      <x:c r="D8" s="64" t="n">
        <x:f>TF!D8*IDF!$D8</x:f>
        <x:v>0</x:v>
      </x:c>
      <x:c r="E8" s="64" t="n">
        <x:f>TF!E8*IDF!$D8</x:f>
        <x:v>0</x:v>
      </x:c>
    </x:row>
    <x:row r="9">
      <x:c r="A9" t="str">
        <x:f>TF!A9</x:f>
        <x:v>fish</x:v>
      </x:c>
      <x:c r="B9" s="64" t="n">
        <x:f>TF!B9*IDF!$D9</x:f>
        <x:v>0.07525749891599524</x:v>
      </x:c>
      <x:c r="C9" s="64" t="n">
        <x:f>TF!C9*IDF!$D9</x:f>
        <x:v>0.10034333188799366</x:v>
      </x:c>
      <x:c r="D9" s="64" t="n">
        <x:f>TF!D9*IDF!$D9</x:f>
        <x:v>0</x:v>
      </x:c>
      <x:c r="E9" s="64" t="n">
        <x:f>TF!E9*IDF!$D9</x:f>
        <x:v>0</x:v>
      </x:c>
    </x:row>
    <x:row r="10">
      <x:c r="A10" t="str">
        <x:f>TF!A10</x:f>
        <x:v>plays</x:v>
      </x:c>
      <x:c r="B10" s="64" t="n">
        <x:f>TF!B10*IDF!$D10</x:f>
        <x:v>0</x:v>
      </x:c>
      <x:c r="C10" s="64" t="n">
        <x:f>TF!C10*IDF!$D10</x:f>
        <x:v>0</x:v>
      </x:c>
      <x:c r="D10" s="64" t="n">
        <x:f>TF!D10*IDF!$D10</x:f>
        <x:v>0.1505149978319905</x:v>
      </x:c>
      <x:c r="E10" s="64" t="n">
        <x:f>TF!E10*IDF!$D10</x:f>
        <x:v>0</x:v>
      </x:c>
    </x:row>
    <x:row r="11">
      <x:c r="A11" t="str">
        <x:f>TF!A11</x:f>
        <x:v>bird</x:v>
      </x:c>
      <x:c r="B11" s="64" t="n">
        <x:f>TF!B11*IDF!$D11</x:f>
        <x:v>0</x:v>
      </x:c>
      <x:c r="C11" s="64" t="n">
        <x:f>TF!C11*IDF!$D11</x:f>
        <x:v>0</x:v>
      </x:c>
      <x:c r="D11" s="64" t="n">
        <x:f>TF!D11*IDF!$D11</x:f>
        <x:v>0</x:v>
      </x:c>
      <x:c r="E11" s="64" t="n">
        <x:f>TF!E11*IDF!$D11</x:f>
        <x:v>0.20068666377598732</x:v>
      </x:c>
    </x:row>
    <x:row r="12">
      <x:c r="A12" t="str">
        <x:f>TF!A12</x:f>
        <x:v>seeds</x:v>
      </x:c>
      <x:c r="B12" s="64" t="n">
        <x:f>TF!B12*IDF!$D12</x:f>
        <x:v>0</x:v>
      </x:c>
      <x:c r="C12" s="64" t="n">
        <x:f>TF!C12*IDF!$D12</x:f>
        <x:v>0</x:v>
      </x:c>
      <x:c r="D12" s="64" t="n">
        <x:f>TF!D12*IDF!$D12</x:f>
        <x:v>0</x:v>
      </x:c>
      <x:c r="E12" s="64" t="n">
        <x:f>TF!E12*IDF!$D12</x:f>
        <x:v>0.20068666377598732</x:v>
      </x:c>
    </x:row>
    <x:row r="14">
      <x:c r="A14" s="58" t="str">
        <x:v>Total scores</x:v>
      </x:c>
      <x:c r="B14" s="65" t="n">
        <x:f>SUM(B6:B12)</x:f>
        <x:v>0.22577249674798572</x:v>
      </x:c>
      <x:c r="C14" s="65" t="n">
        <x:f>SUM(C6:C12)</x:f>
        <x:v>0.20068666377598732</x:v>
      </x:c>
      <x:c r="D14" s="65" t="n">
        <x:f>SUM(D6:D12)</x:f>
        <x:v>0.301029995663981</x:v>
      </x:c>
      <x:c r="E14" s="65" t="n">
        <x:f>SUM(E6:E12)</x:f>
        <x:v>0.40137332755197463</x:v>
      </x:c>
    </x:row>
    <x:row r="17" ht="27" customHeight="1">
      <x:c r="A17" s="18" t="str">
        <x:v>KEY OBSERVATIONS</x:v>
      </x:c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</x:row>
    <x:row r="19" ht="28" customHeight="1">
      <x:c r="A19" s="34" t="str">
        <x:v>Term</x:v>
      </x:c>
      <x:c r="B19" s="34" t="str">
        <x:v>Document</x:v>
      </x:c>
      <x:c r="C19" s="34" t="str">
        <x:v>Explanation</x:v>
      </x:c>
      <x:c r="D19" s="31"/>
      <x:c r="E19" s="31"/>
      <x:c r="F19" s="31"/>
      <x:c r="G19" s="31"/>
      <x:c r="H19" s="31"/>
      <x:c r="I19" s="31"/>
      <x:c r="J19" s="31"/>
      <x:c r="K19" s="31"/>
    </x:row>
    <x:row r="20" ht="30" customHeight="1">
      <x:c r="A20" t="str">
        <x:v>cat</x:v>
      </x:c>
      <x:c r="B20" t="str">
        <x:v>D1</x:v>
      </x:c>
      <x:c r="C20" s="80" t="str">
        <x:v>Repeated twice, so its TF (and TF-IDF) is larger than one occurrence.</x:v>
      </x:c>
      <x:c r="D20" s="80"/>
      <x:c r="E20" s="80"/>
      <x:c r="F20" s="80"/>
      <x:c r="G20" s="80"/>
      <x:c r="H20" s="80"/>
      <x:c r="I20" s="80"/>
      <x:c r="J20" s="80"/>
      <x:c r="K20" s="80"/>
    </x:row>
    <x:row r="21" ht="30" customHeight="1">
      <x:c r="A21" t="str">
        <x:v>eats</x:v>
      </x:c>
      <x:c r="B21" t="str">
        <x:v>All</x:v>
      </x:c>
      <x:c r="C21" s="80" t="str">
        <x:v>Appears in every document; IDF = 0, so all TF-IDF scores are zero.</x:v>
      </x:c>
      <x:c r="D21" s="80"/>
      <x:c r="E21" s="80"/>
      <x:c r="F21" s="80"/>
      <x:c r="G21" s="80"/>
      <x:c r="H21" s="80"/>
      <x:c r="I21" s="80"/>
      <x:c r="J21" s="80"/>
      <x:c r="K21" s="80"/>
    </x:row>
    <x:row r="22" ht="30" customHeight="1">
      <x:c r="A22" t="str">
        <x:v>bird</x:v>
      </x:c>
      <x:c r="B22" t="str">
        <x:v>D4</x:v>
      </x:c>
      <x:c r="C22" s="80" t="str">
        <x:v>Rare term (DF = 1), so its IDF is higher.</x:v>
      </x:c>
      <x:c r="D22" s="80"/>
      <x:c r="E22" s="80"/>
      <x:c r="F22" s="80"/>
      <x:c r="G22" s="80"/>
      <x:c r="H22" s="80"/>
      <x:c r="I22" s="80"/>
      <x:c r="J22" s="80"/>
      <x:c r="K22" s="80"/>
    </x:row>
  </x:sheetData>
  <x:mergeCells>
    <x:mergeCell ref="A1:K2"/>
    <x:mergeCell ref="A3:K3"/>
    <x:mergeCell ref="A17:K17"/>
    <x:mergeCell ref="G5:K6"/>
    <x:mergeCell ref="C19:K19"/>
    <x:mergeCell ref="C20:K20"/>
    <x:mergeCell ref="C21:K21"/>
    <x:mergeCell ref="C22:K22"/>
  </x:mergeCells>
  <x:conditionalFormatting sqref="B6:E12">
    <x:cfRule type="colorScale" priority="1">
      <x:colorScale>
        <x:cfvo type="min"/>
        <x:cfvo type="percentile" val="50"/>
        <x:cfvo type="max"/>
        <x:color rgb="FFF7FBFE"/>
        <x:color rgb="FFC7EBE8"/>
        <x:color rgb="FF3A9E94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31" hidden="0" customWidth="1"/>
    <x:col min="2" max="2" width="32" hidden="0" customWidth="1"/>
    <x:col min="3" max="3" width="18" hidden="0" customWidth="1"/>
    <x:col min="4" max="4" width="58" hidden="0" customWidth="1"/>
    <x:col min="5" max="5" width="14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25" customHeight="1">
      <x:c r="A1" s="4" t="str">
        <x:v>06 | Step-by-Step Calculations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3" ht="30" customHeight="1">
      <x:c r="A3" s="11" t="str">
        <x:v>Three fully worked examples using live references to the other tabs.</x:v>
      </x:c>
      <x:c r="B3" s="11"/>
      <x:c r="C3" s="11"/>
      <x:c r="D3" s="11"/>
      <x:c r="E3" s="11"/>
      <x:c r="F3" s="11"/>
      <x:c r="G3" s="11"/>
      <x:c r="H3" s="11"/>
    </x:row>
    <x:row r="5" ht="27" customHeight="1">
      <x:c r="A5" s="18" t="str">
        <x:v>EXAMPLE A: 'cat' IN D1 (repeated word)</x:v>
      </x:c>
      <x:c r="B5" s="18"/>
      <x:c r="C5" s="18"/>
      <x:c r="D5" s="18"/>
      <x:c r="E5" s="18"/>
      <x:c r="F5" s="18"/>
      <x:c r="G5" s="18"/>
      <x:c r="H5" s="18"/>
    </x:row>
    <x:row r="7" ht="28" customHeight="1">
      <x:c r="A7" s="34" t="str">
        <x:v>Step</x:v>
      </x:c>
      <x:c r="B7" s="34" t="str">
        <x:v>Hand calculation</x:v>
      </x:c>
      <x:c r="C7" s="34" t="str">
        <x:v>Excel result</x:v>
      </x:c>
      <x:c r="D7" s="34" t="str">
        <x:v>Meaning</x:v>
      </x:c>
    </x:row>
    <x:row r="8" ht="25" customHeight="1">
      <x:c r="A8" t="str">
        <x:v>1. Document length</x:v>
      </x:c>
      <x:c r="B8" t="str">
        <x:v>4 tokens</x:v>
      </x:c>
      <x:c r="C8" s="70" t="n">
        <x:f>Corpus!I6</x:f>
        <x:v>4</x:v>
      </x:c>
      <x:c r="D8" s="28" t="str">
        <x:v>D1 = cat cat eats fish.</x:v>
      </x:c>
    </x:row>
    <x:row r="9" ht="25" customHeight="1">
      <x:c r="A9" t="str">
        <x:v>2. Count('cat', D1)</x:v>
      </x:c>
      <x:c r="B9" t="str">
        <x:v>2 occurrences</x:v>
      </x:c>
      <x:c r="C9" s="70" t="n">
        <x:f>'Word Counts'!B6</x:f>
        <x:v>2</x:v>
      </x:c>
      <x:c r="D9" s="28" t="str">
        <x:v>The word is repeated.</x:v>
      </x:c>
    </x:row>
    <x:row r="10" ht="25" customHeight="1">
      <x:c r="A10" t="str">
        <x:v>3. TF(cat, D1)</x:v>
      </x:c>
      <x:c r="B10" t="str">
        <x:v>2 / 4 = 0.5</x:v>
      </x:c>
      <x:c r="C10" s="64" t="n">
        <x:f>TF!B6</x:f>
        <x:v>0.5</x:v>
      </x:c>
      <x:c r="D10" s="28" t="str">
        <x:v>Half of D1's words are 'cat'.</x:v>
      </x:c>
    </x:row>
    <x:row r="11" ht="25" customHeight="1">
      <x:c r="A11" t="str">
        <x:v>4. Number of documents</x:v>
      </x:c>
      <x:c r="B11" t="str">
        <x:v>N = 4</x:v>
      </x:c>
      <x:c r="C11" s="70" t="n">
        <x:f>Corpus!B12</x:f>
        <x:v>4</x:v>
      </x:c>
      <x:c r="D11" s="28" t="str">
        <x:v>Total documents in our corpus.</x:v>
      </x:c>
    </x:row>
    <x:row r="12" ht="25" customHeight="1">
      <x:c r="A12" t="str">
        <x:v>5. DF('cat')</x:v>
      </x:c>
      <x:c r="B12" t="str">
        <x:v>2 documents</x:v>
      </x:c>
      <x:c r="C12" s="70" t="n">
        <x:f>IDF!B6</x:f>
        <x:v>2</x:v>
      </x:c>
      <x:c r="D12" s="28" t="str">
        <x:v>'cat' appears in D1 and D3.</x:v>
      </x:c>
    </x:row>
    <x:row r="13" ht="25" customHeight="1">
      <x:c r="A13" t="str">
        <x:v>6. N / DF</x:v>
      </x:c>
      <x:c r="B13" t="str">
        <x:v>4 / 2 = 2</x:v>
      </x:c>
      <x:c r="C13" s="64" t="n">
        <x:f>IDF!C6</x:f>
        <x:v>2</x:v>
      </x:c>
      <x:c r="D13" s="28" t="str">
        <x:v>Ratio inside the logarithm.</x:v>
      </x:c>
    </x:row>
    <x:row r="14" ht="25" customHeight="1">
      <x:c r="A14" t="str">
        <x:v>7. IDF('cat')</x:v>
      </x:c>
      <x:c r="B14" t="str">
        <x:v>LOG10(2) ≈ 0.301030</x:v>
      </x:c>
      <x:c r="C14" s="64" t="n">
        <x:f>IDF!D6</x:f>
        <x:v>0.301029995663981</x:v>
      </x:c>
      <x:c r="D14" s="28" t="str">
        <x:v>Appears in half of the documents.</x:v>
      </x:c>
    </x:row>
    <x:row r="15" ht="25" customHeight="1">
      <x:c r="A15" s="53" t="str">
        <x:v>8. FINAL TF-IDF</x:v>
      </x:c>
      <x:c r="B15" s="53" t="str">
        <x:v>0.5 × 0.301030 ≈ 0.150515</x:v>
      </x:c>
      <x:c r="C15" s="68" t="n">
        <x:f>'TF-IDF'!B6</x:f>
        <x:v>0.1505149978319905</x:v>
      </x:c>
      <x:c r="D15" s="72" t="str">
        <x:v>The answer for cat in D1.</x:v>
      </x:c>
    </x:row>
    <x:row r="16" ht="25" customHeight="1">
      <x:c r="D16" s="28"/>
    </x:row>
    <x:row r="17" ht="25" customHeight="1">
      <x:c r="D17" s="28"/>
    </x:row>
    <x:row r="18" ht="25" customHeight="1">
      <x:c r="A18" s="18" t="str">
        <x:v>EXAMPLE B: 'eats' IN D1 (appears everywhere)</x:v>
      </x:c>
      <x:c r="B18" s="18"/>
      <x:c r="C18" s="18"/>
      <x:c r="D18" s="73"/>
      <x:c r="E18" s="18"/>
      <x:c r="F18" s="18"/>
      <x:c r="G18" s="18"/>
      <x:c r="H18" s="18"/>
    </x:row>
    <x:row r="19" ht="25" customHeight="1">
      <x:c r="D19" s="28"/>
    </x:row>
    <x:row r="20" ht="25" customHeight="1">
      <x:c r="A20" s="34" t="str">
        <x:v>Step</x:v>
      </x:c>
      <x:c r="B20" s="34" t="str">
        <x:v>Hand calculation</x:v>
      </x:c>
      <x:c r="C20" s="34" t="str">
        <x:v>Excel result</x:v>
      </x:c>
      <x:c r="D20" s="34" t="str">
        <x:v>Meaning</x:v>
      </x:c>
    </x:row>
    <x:row r="21" ht="25" customHeight="1">
      <x:c r="A21" t="str">
        <x:v>1. TF(eats, D1)</x:v>
      </x:c>
      <x:c r="B21" t="str">
        <x:v>1 / 4 = 0.25</x:v>
      </x:c>
      <x:c r="C21" s="64" t="n">
        <x:f>TF!B8</x:f>
        <x:v>0.25</x:v>
      </x:c>
      <x:c r="D21" s="28" t="str">
        <x:v>The word appears once in D1.</x:v>
      </x:c>
    </x:row>
    <x:row r="22" ht="25" customHeight="1">
      <x:c r="A22" t="str">
        <x:v>2. DF(eats)</x:v>
      </x:c>
      <x:c r="B22" t="str">
        <x:v>4 of 4 documents</x:v>
      </x:c>
      <x:c r="C22" s="64" t="n">
        <x:f>IDF!B8</x:f>
        <x:v>4</x:v>
      </x:c>
      <x:c r="D22" s="28" t="str">
        <x:v>Every document contains 'eats'.</x:v>
      </x:c>
    </x:row>
    <x:row r="23" ht="25" customHeight="1">
      <x:c r="A23" t="str">
        <x:v>3. IDF(eats)</x:v>
      </x:c>
      <x:c r="B23" t="str">
        <x:v>LOG10(4 / 4) = LOG10(1) = 0</x:v>
      </x:c>
      <x:c r="C23" s="64" t="n">
        <x:f>IDF!D8</x:f>
        <x:v>0</x:v>
      </x:c>
      <x:c r="D23" s="28" t="str">
        <x:v>A ubiquitous term carries no rarity weight.</x:v>
      </x:c>
    </x:row>
    <x:row r="24" ht="25" customHeight="1">
      <x:c r="A24" s="53" t="str">
        <x:v>4. FINAL TF-IDF</x:v>
      </x:c>
      <x:c r="B24" s="53" t="str">
        <x:v>0.25 × 0 = 0</x:v>
      </x:c>
      <x:c r="C24" s="68" t="n">
        <x:f>'TF-IDF'!B8</x:f>
        <x:v>0</x:v>
      </x:c>
      <x:c r="D24" s="72" t="str">
        <x:v>Frequency cannot rescue IDF = 0.</x:v>
      </x:c>
    </x:row>
    <x:row r="25" ht="25" customHeight="1">
      <x:c r="D25" s="28"/>
    </x:row>
    <x:row r="26" ht="25" customHeight="1">
      <x:c r="D26" s="28"/>
    </x:row>
    <x:row r="27" ht="25" customHeight="1">
      <x:c r="A27" s="18" t="str">
        <x:v>EXAMPLE C: 'bird' IN D4 (rare word)</x:v>
      </x:c>
      <x:c r="B27" s="18"/>
      <x:c r="C27" s="18"/>
      <x:c r="D27" s="73"/>
      <x:c r="E27" s="18"/>
      <x:c r="F27" s="18"/>
      <x:c r="G27" s="18"/>
      <x:c r="H27" s="18"/>
    </x:row>
    <x:row r="28" ht="25" customHeight="1">
      <x:c r="D28" s="28"/>
    </x:row>
    <x:row r="29" ht="25" customHeight="1">
      <x:c r="A29" s="34" t="str">
        <x:v>Step</x:v>
      </x:c>
      <x:c r="B29" s="34" t="str">
        <x:v>Hand calculation</x:v>
      </x:c>
      <x:c r="C29" s="34" t="str">
        <x:v>Excel result</x:v>
      </x:c>
      <x:c r="D29" s="34" t="str">
        <x:v>Meaning</x:v>
      </x:c>
    </x:row>
    <x:row r="30" ht="25" customHeight="1">
      <x:c r="A30" t="str">
        <x:v>1. TF(bird, D4)</x:v>
      </x:c>
      <x:c r="B30" t="str">
        <x:v>1 / 3 ≈ 0.333333</x:v>
      </x:c>
      <x:c r="C30" s="64" t="n">
        <x:f>TF!E11</x:f>
        <x:v>0.3333333333333333</x:v>
      </x:c>
      <x:c r="D30" s="28" t="str">
        <x:v>One of the three tokens in D4 is 'bird'.</x:v>
      </x:c>
    </x:row>
    <x:row r="31" ht="25" customHeight="1">
      <x:c r="A31" t="str">
        <x:v>2. DF(bird)</x:v>
      </x:c>
      <x:c r="B31" t="str">
        <x:v>1 document</x:v>
      </x:c>
      <x:c r="C31" s="64" t="n">
        <x:f>IDF!B11</x:f>
        <x:v>1</x:v>
      </x:c>
      <x:c r="D31" s="28" t="str">
        <x:v>Only D4 contains 'bird'.</x:v>
      </x:c>
    </x:row>
    <x:row r="32" ht="25" customHeight="1">
      <x:c r="A32" t="str">
        <x:v>3. IDF(bird)</x:v>
      </x:c>
      <x:c r="B32" t="str">
        <x:v>LOG10(4 / 1) ≈ 0.602060</x:v>
      </x:c>
      <x:c r="C32" s="64" t="n">
        <x:f>IDF!D11</x:f>
        <x:v>0.602059991327962</x:v>
      </x:c>
      <x:c r="D32" s="28" t="str">
        <x:v>A rare word receives a high IDF.</x:v>
      </x:c>
    </x:row>
    <x:row r="33" ht="25" customHeight="1">
      <x:c r="A33" s="53" t="str">
        <x:v>4. FINAL TF-IDF</x:v>
      </x:c>
      <x:c r="B33" s="53" t="str">
        <x:v>(1 / 3) × 0.602060 ≈ 0.200687</x:v>
      </x:c>
      <x:c r="C33" s="68" t="n">
        <x:f>'TF-IDF'!E11</x:f>
        <x:v>0.20068666377598732</x:v>
      </x:c>
      <x:c r="D33" s="72" t="str">
        <x:v>The answer for bird in D4.</x:v>
      </x:c>
    </x:row>
  </x:sheetData>
  <x:mergeCells>
    <x:mergeCell ref="A1:H2"/>
    <x:mergeCell ref="A3:H3"/>
    <x:mergeCell ref="A5:H5"/>
    <x:mergeCell ref="A18:H18"/>
    <x:mergeCell ref="A27:H2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22" hidden="0" customWidth="1"/>
    <x:col min="2" max="2" width="19" hidden="0" customWidth="1"/>
    <x:col min="3" max="3" width="17" hidden="0" customWidth="1"/>
    <x:col min="4" max="4" width="17" hidden="0" customWidth="1"/>
    <x:col min="5" max="5" width="17" hidden="0" customWidth="1"/>
    <x:col min="6" max="6" width="18" hidden="0" customWidth="1"/>
    <x:col min="7" max="7" width="22" hidden="0" customWidth="1"/>
    <x:col min="8" max="8" width="20" hidden="0" customWidth="1"/>
    <x:col min="9" max="9" width="23" hidden="0" customWidth="1"/>
  </x:cols>
  <x:sheetData>
    <x:row r="1" ht="25" customHeight="1">
      <x:c r="A1" s="4" t="str">
        <x:v>07 | Try It Yourself (Second Example)</x:v>
      </x:c>
      <x:c r="B1" s="4"/>
      <x:c r="C1" s="4"/>
      <x:c r="D1" s="4"/>
      <x:c r="E1" s="4"/>
      <x:c r="F1" s="4"/>
      <x:c r="G1" s="4"/>
      <x:c r="H1" s="4"/>
      <x:c r="I1" s="4"/>
    </x:row>
    <x:row r="2" ht="25" customHeight="1">
      <x:c r="A2" s="4"/>
      <x:c r="B2" s="4"/>
      <x:c r="C2" s="4"/>
      <x:c r="D2" s="4"/>
      <x:c r="E2" s="4"/>
      <x:c r="F2" s="4"/>
      <x:c r="G2" s="4"/>
      <x:c r="H2" s="4"/>
      <x:c r="I2" s="4"/>
    </x:row>
    <x:row r="3" ht="30" customHeight="1">
      <x:c r="A3" s="11" t="str">
        <x:v>Solve this three-document exercise manually, then use the live answer key at the bottom.</x:v>
      </x:c>
      <x:c r="B3" s="11"/>
      <x:c r="C3" s="11"/>
      <x:c r="D3" s="11"/>
      <x:c r="E3" s="11"/>
      <x:c r="F3" s="11"/>
      <x:c r="G3" s="11"/>
      <x:c r="H3" s="11"/>
      <x:c r="I3" s="11"/>
    </x:row>
    <x:row r="5" ht="27" customHeight="1">
      <x:c r="A5" s="18" t="str">
        <x:v>PRACTICE CORPUS (YELLOW TOKEN CELLS)</x:v>
      </x:c>
      <x:c r="B5" s="18"/>
      <x:c r="C5" s="18"/>
      <x:c r="D5" s="18"/>
      <x:c r="E5" s="18"/>
      <x:c r="F5" s="18"/>
      <x:c r="G5" s="18"/>
      <x:c r="H5" s="18"/>
      <x:c r="I5" s="18"/>
    </x:row>
    <x:row r="7" ht="28" customHeight="1">
      <x:c r="A7" s="34" t="str">
        <x:v>Document</x:v>
      </x:c>
      <x:c r="B7" s="34" t="str">
        <x:v>Sentence</x:v>
      </x:c>
      <x:c r="C7" s="34" t="str">
        <x:v>Token 1</x:v>
      </x:c>
      <x:c r="D7" s="34" t="str">
        <x:v>Token 2</x:v>
      </x:c>
      <x:c r="E7" s="34" t="str">
        <x:v>Token 3</x:v>
      </x:c>
      <x:c r="F7" s="34" t="str">
        <x:v>Doc length</x:v>
      </x:c>
      <x:c r="G7" s="34" t="str">
        <x:v>Notes</x:v>
      </x:c>
    </x:row>
    <x:row r="8">
      <x:c r="A8" t="str">
        <x:v>P1</x:v>
      </x:c>
      <x:c r="B8" t="str">
        <x:f>TRIM(C8&amp;" "&amp;D8&amp;" "&amp;E8)</x:f>
        <x:v>rain rain wind</x:v>
      </x:c>
      <x:c r="C8" s="76" t="str">
        <x:v>rain</x:v>
      </x:c>
      <x:c r="D8" s="76" t="str">
        <x:v>rain</x:v>
      </x:c>
      <x:c r="E8" s="76" t="str">
        <x:v>wind</x:v>
      </x:c>
      <x:c r="F8" t="n">
        <x:f>COUNTA(C8:E8)</x:f>
        <x:v>3</x:v>
      </x:c>
      <x:c r="G8" t="str">
        <x:v>A word repeated twice</x:v>
      </x:c>
    </x:row>
    <x:row r="9">
      <x:c r="A9" t="str">
        <x:v>P2</x:v>
      </x:c>
      <x:c r="B9" t="str">
        <x:f>TRIM(C9&amp;" "&amp;D9&amp;" "&amp;E9)</x:f>
        <x:v>rain sun</x:v>
      </x:c>
      <x:c r="C9" s="76" t="str">
        <x:v>rain</x:v>
      </x:c>
      <x:c r="D9" s="76" t="str">
        <x:v>sun</x:v>
      </x:c>
      <x:c r="E9" s="76"/>
      <x:c r="F9" t="n">
        <x:f>COUNTA(C9:E9)</x:f>
        <x:v>2</x:v>
      </x:c>
      <x:c r="G9" t="str">
        <x:v>One rare word</x:v>
      </x:c>
    </x:row>
    <x:row r="10">
      <x:c r="A10" t="str">
        <x:v>P3</x:v>
      </x:c>
      <x:c r="B10" t="str">
        <x:f>TRIM(C10&amp;" "&amp;D10&amp;" "&amp;E10)</x:f>
        <x:v>wind cloud</x:v>
      </x:c>
      <x:c r="C10" s="76" t="str">
        <x:v>wind</x:v>
      </x:c>
      <x:c r="D10" s="76" t="str">
        <x:v>cloud</x:v>
      </x:c>
      <x:c r="E10" s="76"/>
      <x:c r="F10" t="n">
        <x:f>COUNTA(C10:E10)</x:f>
        <x:v>2</x:v>
      </x:c>
      <x:c r="G10" t="str">
        <x:v>Another rare word</x:v>
      </x:c>
    </x:row>
    <x:row r="12">
      <x:c r="A12" s="58" t="str">
        <x:v>N (documents)</x:v>
      </x:c>
      <x:c r="B12" s="58" t="n">
        <x:f>COUNTA(A8:A10)</x:f>
        <x:v>3</x:v>
      </x:c>
    </x:row>
    <x:row r="14" ht="27" customHeight="1">
      <x:c r="A14" s="18" t="str">
        <x:v>QUESTIONS — CALCULATE BEFORE LOOKING AT THE ANSWER KEY</x:v>
      </x:c>
      <x:c r="B14" s="18"/>
      <x:c r="C14" s="18"/>
      <x:c r="D14" s="18"/>
      <x:c r="E14" s="18"/>
      <x:c r="F14" s="18"/>
      <x:c r="G14" s="18"/>
      <x:c r="H14" s="18"/>
      <x:c r="I14" s="18"/>
    </x:row>
    <x:row r="16" ht="33" customHeight="1">
      <x:c r="A16" s="78" t="str">
        <x:v>Q1</x:v>
      </x:c>
      <x:c r="B16" s="78" t="str">
        <x:v>Compute TF(rain, P1)</x:v>
      </x:c>
      <x:c r="C16" s="78" t="str"/>
      <x:c r="D16" s="78" t="str">
        <x:v>Q2</x:v>
      </x:c>
      <x:c r="E16" s="78" t="str">
        <x:v>Compute IDF(sun)</x:v>
      </x:c>
      <x:c r="F16" s="78" t="str"/>
      <x:c r="G16" s="78" t="str"/>
    </x:row>
    <x:row r="17" ht="33" customHeight="1">
      <x:c r="A17" s="78" t="str">
        <x:v>Q3</x:v>
      </x:c>
      <x:c r="B17" s="78" t="str">
        <x:v>Compute TF-IDF(rain, P1)</x:v>
      </x:c>
      <x:c r="C17" s="78" t="str"/>
      <x:c r="D17" s="78" t="str">
        <x:v>Q4</x:v>
      </x:c>
      <x:c r="E17" s="78" t="str">
        <x:v>Compute TF-IDF(sun, P2)</x:v>
      </x:c>
      <x:c r="F17" s="78" t="str"/>
      <x:c r="G17" s="78" t="str"/>
    </x:row>
    <x:row r="18" ht="33" customHeight="1">
      <x:c r="A18" s="78" t="str">
        <x:v>Q5</x:v>
      </x:c>
      <x:c r="B18" s="78" t="str">
        <x:v>Which term has the highest TF-IDF in P3?</x:v>
      </x:c>
      <x:c r="C18" s="78" t="str"/>
      <x:c r="D18" s="78" t="str">
        <x:v>Q6</x:v>
      </x:c>
      <x:c r="E18" s="78" t="str">
        <x:v>Why is IDF(sun) greater than IDF(rain)?</x:v>
      </x:c>
      <x:c r="F18" s="78" t="str"/>
      <x:c r="G18" s="78" t="str"/>
    </x:row>
    <x:row r="21" ht="27" customHeight="1">
      <x:c r="A21" s="18" t="str">
        <x:v>ANSWER KEY — ALL VALUES USE EXCEL FORMULAS</x:v>
      </x:c>
      <x:c r="B21" s="18"/>
      <x:c r="C21" s="18"/>
      <x:c r="D21" s="18"/>
      <x:c r="E21" s="18"/>
      <x:c r="F21" s="18"/>
      <x:c r="G21" s="18"/>
      <x:c r="H21" s="18"/>
      <x:c r="I21" s="18"/>
    </x:row>
    <x:row r="23" ht="28" customHeight="1">
      <x:c r="A23" s="34" t="str">
        <x:v>Word</x:v>
      </x:c>
      <x:c r="B23" s="34" t="str">
        <x:v>DF</x:v>
      </x:c>
      <x:c r="C23" s="34" t="str">
        <x:v>IDF (log10)</x:v>
      </x:c>
      <x:c r="D23" s="34" t="str">
        <x:v>P1 TF</x:v>
      </x:c>
      <x:c r="E23" s="34" t="str">
        <x:v>P1 TF-IDF</x:v>
      </x:c>
      <x:c r="F23" s="34" t="str">
        <x:v>P2 TF-IDF</x:v>
      </x:c>
      <x:c r="G23" s="34" t="str">
        <x:v>P3 TF-IDF</x:v>
      </x:c>
      <x:c r="H23" s="34" t="str">
        <x:v>Interpretation</x:v>
      </x:c>
    </x:row>
    <x:row r="24">
      <x:c r="A24" t="str">
        <x:v>rain</x:v>
      </x:c>
      <x:c r="B24" t="n">
        <x:f>IF(COUNTIF($C$8:$E$8,$A24)&gt;0,1,0)+IF(COUNTIF($C$9:$E$9,$A24)&gt;0,1,0)+IF(COUNTIF($C$10:$E$10,$A24)&gt;0,1,0)</x:f>
        <x:v>2</x:v>
      </x:c>
      <x:c r="C24" s="64" t="n">
        <x:f>LOG10($B$12/B24)</x:f>
        <x:v>0.176091259055681</x:v>
      </x:c>
      <x:c r="D24" s="64" t="n">
        <x:f>COUNTIF($C$8:$E$8,$A24)/$F$8</x:f>
        <x:v>0.6666666666666666</x:v>
      </x:c>
      <x:c r="E24" s="64" t="n">
        <x:f>D24*C24</x:f>
        <x:v>0.11739417270378733</x:v>
      </x:c>
      <x:c r="F24" s="64" t="n">
        <x:f>COUNTIF($C$9:$E$9,$A24)/$F$9*C24</x:f>
        <x:v>0.0880456295278405</x:v>
      </x:c>
      <x:c r="G24" s="64" t="n">
        <x:f>COUNTIF($C$10:$E$10,$A24)/$F$10*C24</x:f>
        <x:v>0</x:v>
      </x:c>
      <x:c r="H24" s="28" t="str">
        <x:v>DF = 2, moderate rarity</x:v>
      </x:c>
    </x:row>
    <x:row r="25">
      <x:c r="A25" t="str">
        <x:v>wind</x:v>
      </x:c>
      <x:c r="B25" t="n">
        <x:f>IF(COUNTIF($C$8:$E$8,$A25)&gt;0,1,0)+IF(COUNTIF($C$9:$E$9,$A25)&gt;0,1,0)+IF(COUNTIF($C$10:$E$10,$A25)&gt;0,1,0)</x:f>
        <x:v>2</x:v>
      </x:c>
      <x:c r="C25" s="64" t="n">
        <x:f>LOG10($B$12/B25)</x:f>
        <x:v>0.176091259055681</x:v>
      </x:c>
      <x:c r="D25" s="64" t="n">
        <x:f>COUNTIF($C$8:$E$8,$A25)/$F$8</x:f>
        <x:v>0.3333333333333333</x:v>
      </x:c>
      <x:c r="E25" s="64" t="n">
        <x:f>D25*C25</x:f>
        <x:v>0.05869708635189366</x:v>
      </x:c>
      <x:c r="F25" s="64" t="n">
        <x:f>COUNTIF($C$9:$E$9,$A25)/$F$9*C25</x:f>
        <x:v>0</x:v>
      </x:c>
      <x:c r="G25" s="64" t="n">
        <x:f>COUNTIF($C$10:$E$10,$A25)/$F$10*C25</x:f>
        <x:v>0.0880456295278405</x:v>
      </x:c>
      <x:c r="H25" s="28" t="str">
        <x:v>DF = 2, moderate rarity</x:v>
      </x:c>
    </x:row>
    <x:row r="26">
      <x:c r="A26" t="str">
        <x:v>sun</x:v>
      </x:c>
      <x:c r="B26" t="n">
        <x:f>IF(COUNTIF($C$8:$E$8,$A26)&gt;0,1,0)+IF(COUNTIF($C$9:$E$9,$A26)&gt;0,1,0)+IF(COUNTIF($C$10:$E$10,$A26)&gt;0,1,0)</x:f>
        <x:v>1</x:v>
      </x:c>
      <x:c r="C26" s="64" t="n">
        <x:f>LOG10($B$12/B26)</x:f>
        <x:v>0.477121254719662</x:v>
      </x:c>
      <x:c r="D26" s="64" t="n">
        <x:f>COUNTIF($C$8:$E$8,$A26)/$F$8</x:f>
        <x:v>0</x:v>
      </x:c>
      <x:c r="E26" s="64" t="n">
        <x:f>D26*C26</x:f>
        <x:v>0</x:v>
      </x:c>
      <x:c r="F26" s="64" t="n">
        <x:f>COUNTIF($C$9:$E$9,$A26)/$F$9*C26</x:f>
        <x:v>0.238560627359831</x:v>
      </x:c>
      <x:c r="G26" s="64" t="n">
        <x:f>COUNTIF($C$10:$E$10,$A26)/$F$10*C26</x:f>
        <x:v>0</x:v>
      </x:c>
      <x:c r="H26" s="28" t="str">
        <x:v>DF = 1, high rarity</x:v>
      </x:c>
    </x:row>
    <x:row r="27">
      <x:c r="A27" t="str">
        <x:v>cloud</x:v>
      </x:c>
      <x:c r="B27" t="n">
        <x:f>IF(COUNTIF($C$8:$E$8,$A27)&gt;0,1,0)+IF(COUNTIF($C$9:$E$9,$A27)&gt;0,1,0)+IF(COUNTIF($C$10:$E$10,$A27)&gt;0,1,0)</x:f>
        <x:v>1</x:v>
      </x:c>
      <x:c r="C27" s="64" t="n">
        <x:f>LOG10($B$12/B27)</x:f>
        <x:v>0.477121254719662</x:v>
      </x:c>
      <x:c r="D27" s="64" t="n">
        <x:f>COUNTIF($C$8:$E$8,$A27)/$F$8</x:f>
        <x:v>0</x:v>
      </x:c>
      <x:c r="E27" s="64" t="n">
        <x:f>D27*C27</x:f>
        <x:v>0</x:v>
      </x:c>
      <x:c r="F27" s="64" t="n">
        <x:f>COUNTIF($C$9:$E$9,$A27)/$F$9*C27</x:f>
        <x:v>0</x:v>
      </x:c>
      <x:c r="G27" s="64" t="n">
        <x:f>COUNTIF($C$10:$E$10,$A27)/$F$10*C27</x:f>
        <x:v>0.238560627359831</x:v>
      </x:c>
      <x:c r="H27" s="28" t="str">
        <x:v>DF = 1, high rarity</x:v>
      </x:c>
    </x:row>
    <x:row r="30" ht="24" customHeight="1">
      <x:c r="A30" s="60" t="str">
        <x:v>Teacher tip: Compare 'rain' and 'sun' in P2. 'sun' appears in only one document and therefore has greater IDF and TF-IDF, even though each appears once in P2.</x:v>
      </x:c>
      <x:c r="B30" s="60"/>
      <x:c r="C30" s="60"/>
      <x:c r="D30" s="60"/>
      <x:c r="E30" s="60"/>
      <x:c r="F30" s="60"/>
      <x:c r="G30" s="60"/>
      <x:c r="H30" s="60"/>
      <x:c r="I30" s="60"/>
    </x:row>
    <x:row r="31" ht="24" customHeight="1">
      <x:c r="A31" s="60"/>
      <x:c r="B31" s="60"/>
      <x:c r="C31" s="60"/>
      <x:c r="D31" s="60"/>
      <x:c r="E31" s="60"/>
      <x:c r="F31" s="60"/>
      <x:c r="G31" s="60"/>
      <x:c r="H31" s="60"/>
      <x:c r="I31" s="60"/>
    </x:row>
  </x:sheetData>
  <x:mergeCells>
    <x:mergeCell ref="A1:I2"/>
    <x:mergeCell ref="A3:I3"/>
    <x:mergeCell ref="A5:I5"/>
    <x:mergeCell ref="A14:I14"/>
    <x:mergeCell ref="A21:I21"/>
    <x:mergeCell ref="A30:I31"/>
  </x:mergeCells>
  <x:conditionalFormatting sqref="C24:G27">
    <x:cfRule type="colorScale" priority="1">
      <x:colorScale>
        <x:cfvo type="min"/>
        <x:cfvo type="percentile" val="50"/>
        <x:cfvo type="max"/>
        <x:color rgb="FFF7FBFE"/>
        <x:color rgb="FFC7EBE8"/>
        <x:color rgb="FF3A9E94"/>
      </x:colorScale>
    </x:cfRule>
  </x:conditionalFormatting>
  <x:pageMargins left="0.7" right="0.7" top="0.75" bottom="0.75" header="0.3" footer="0.3"/>
</x:worksheet>
</file>